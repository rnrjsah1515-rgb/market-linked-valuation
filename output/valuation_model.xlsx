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" sheetId="1" state="visible" r:id="rId1"/>
    <sheet xmlns:r="http://schemas.openxmlformats.org/officeDocument/2006/relationships" name="파이썬_검증값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과거재무" sheetId="4" state="visible" r:id="rId4"/>
    <sheet xmlns:r="http://schemas.openxmlformats.org/officeDocument/2006/relationships" name="WACC_상세" sheetId="5" state="visible" r:id="rId5"/>
    <sheet xmlns:r="http://schemas.openxmlformats.org/officeDocument/2006/relationships" name="시장역산" sheetId="6" state="visible" r:id="rId6"/>
    <sheet xmlns:r="http://schemas.openxmlformats.org/officeDocument/2006/relationships" name="가정조합비교" sheetId="7" state="visible" r:id="rId7"/>
    <sheet xmlns:r="http://schemas.openxmlformats.org/officeDocument/2006/relationships" name="민감도_WACC_g" sheetId="8" state="visible" r:id="rId8"/>
    <sheet xmlns:r="http://schemas.openxmlformats.org/officeDocument/2006/relationships" name="민감도_유가_환율" sheetId="9" state="visible" r:id="rId9"/>
    <sheet xmlns:r="http://schemas.openxmlformats.org/officeDocument/2006/relationships" name="헤지분석" sheetId="10" state="visible" r:id="rId10"/>
    <sheet xmlns:r="http://schemas.openxmlformats.org/officeDocument/2006/relationships" name="DART_매핑로그" sheetId="11" state="visible" r:id="rId11"/>
  </sheets>
  <definedNames>
    <definedName name="val_date">'가정'!$B$4</definedName>
    <definedName name="rf">'가정'!$B$5</definedName>
    <definedName name="beta">'가정'!$B$6</definedName>
    <definedName name="erp">'가정'!$B$7</definedName>
    <definedName name="size_prem">'가정'!$B$8</definedName>
    <definedName name="ke">'가정'!$B$9</definedName>
    <definedName name="kd_pre">'가정'!$B$10</definedName>
    <definedName name="tax">'가정'!$B$11</definedName>
    <definedName name="we">'가정'!$B$12</definedName>
    <definedName name="capm_wacc">'가정'!$B$13</definedName>
    <definedName name="wacc">'가정'!$B$14</definedName>
    <definedName name="g">'가정'!$B$15</definedName>
    <definedName name="mid">'가정'!$B$16</definedName>
    <definedName name="rev_last">'가정'!$B$17</definedName>
    <definedName name="fuel_vol_last">'가정'!$B$18</definedName>
    <definedName name="fx_ref">'가정'!$B$19</definedName>
    <definedName name="oil_ref">'가정'!$B$20</definedName>
    <definedName name="pass_through">'가정'!$B$21</definedName>
    <definedName name="s_rev">'가정'!$B$22</definedName>
    <definedName name="s_cost">'가정'!$B$23</definedName>
    <definedName name="nonfuel_ratio">'가정'!$B$24</definedName>
    <definedName name="da_ratio">'가정'!$B$25</definedName>
    <definedName name="capex_ratio">'가정'!$B$26</definedName>
    <definedName name="capex_floor">'가정'!$B$27</definedName>
    <definedName name="nwc_ratio">'가정'!$B$28</definedName>
    <definedName name="nwc_last">'가정'!$B$29</definedName>
    <definedName name="tcapex_da">'가정'!$B$30</definedName>
    <definedName name="net_debt">'가정'!$B$31</definedName>
    <definedName name="usd_net_debt">'가정'!$B$32</definedName>
    <definedName name="fx_bs">'가정'!$B$33</definedName>
    <definedName name="fx_spot">'가정'!$B$34</definedName>
    <definedName name="fx_curve0">'가정'!$B$35</definedName>
    <definedName name="nci">'가정'!$B$36</definedName>
    <definedName name="shares">'가정'!$B$37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0.000"/>
    <numFmt numFmtId="167" formatCode="#,##0;[Red]-#,##0"/>
    <numFmt numFmtId="168" formatCode="#,##0.0"/>
    <numFmt numFmtId="169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1F4FBF"/>
    </font>
    <font>
      <color rgb="00898781"/>
    </font>
    <font>
      <b val="1"/>
    </font>
    <font>
      <b val="1"/>
      <sz val="13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top style="thin">
        <color rgb="00C3C2B7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1" fontId="6" fillId="2" borderId="0" applyAlignment="1" pivotButton="0" quotePrefix="0" xfId="0">
      <alignment horizontal="right"/>
    </xf>
    <xf numFmtId="0" fontId="7" fillId="0" borderId="0" pivotButton="0" quotePrefix="0" xfId="0"/>
    <xf numFmtId="167" fontId="4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6" fillId="2" borderId="0" pivotButton="0" quotePrefix="0" xfId="0"/>
    <xf numFmtId="0" fontId="6" fillId="2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대한항공 밸류에이션 가정</t>
        </is>
      </c>
      <c r="B1" s="2" t="n"/>
      <c r="C1" s="2" t="n"/>
    </row>
    <row r="2">
      <c r="A2" t="inlineStr">
        <is>
          <t>파란 글씨 = 입력값, 검은 글씨 = 수식. 입력값을 바꾸면 DCF 시트가 다시 계산됩니다.</t>
        </is>
      </c>
      <c r="B2" s="2" t="n"/>
      <c r="C2" s="2" t="n"/>
    </row>
    <row r="3">
      <c r="B3" s="2" t="n"/>
      <c r="C3" s="2" t="n"/>
    </row>
    <row r="4">
      <c r="A4" t="inlineStr">
        <is>
          <t>평가기준일</t>
        </is>
      </c>
      <c r="B4" s="3" t="n">
        <v>45747</v>
      </c>
      <c r="C4" s="4" t="inlineStr">
        <is>
          <t>시장 데이터 기준일</t>
        </is>
      </c>
    </row>
    <row r="5">
      <c r="A5" t="inlineStr">
        <is>
          <t>무위험이자율 (국고채 10년)</t>
        </is>
      </c>
      <c r="B5" s="5" t="n">
        <v>0.02771</v>
      </c>
      <c r="C5" s="4" t="inlineStr">
        <is>
          <t>ECOS 817Y002</t>
        </is>
      </c>
    </row>
    <row r="6">
      <c r="A6" t="inlineStr">
        <is>
          <t>베타 (재레버리지)</t>
        </is>
      </c>
      <c r="B6" s="6" t="n">
        <v>0.7454826717779101</v>
      </c>
      <c r="C6" s="4" t="inlineStr">
        <is>
          <t>KOSPI 반도체 제외 대비 주간수익률 회귀 (104주, R² 18.0%), Blume 조정 후 목표 D/E 로 재레버리지</t>
        </is>
      </c>
    </row>
    <row r="7">
      <c r="A7" t="inlineStr">
        <is>
          <t>시장위험프리미엄</t>
        </is>
      </c>
      <c r="B7" s="5" t="n">
        <v>0.07000000000000001</v>
      </c>
      <c r="C7" s="4" t="inlineStr">
        <is>
          <t>config 가정</t>
        </is>
      </c>
    </row>
    <row r="8">
      <c r="A8" t="inlineStr">
        <is>
          <t>규모 프리미엄</t>
        </is>
      </c>
      <c r="B8" s="5" t="n">
        <v>0</v>
      </c>
      <c r="C8" s="4" t="inlineStr">
        <is>
          <t>config 가정</t>
        </is>
      </c>
    </row>
    <row r="9">
      <c r="A9" t="inlineStr">
        <is>
          <t>자기자본비용</t>
        </is>
      </c>
      <c r="B9" s="7">
        <f>rf+beta*erp+size_prem</f>
        <v/>
      </c>
      <c r="C9" s="4" t="inlineStr">
        <is>
          <t>CAPM</t>
        </is>
      </c>
    </row>
    <row r="10">
      <c r="A10" t="inlineStr">
        <is>
          <t>세전 타인자본비용</t>
        </is>
      </c>
      <c r="B10" s="5" t="n">
        <v>0.04140000000000001</v>
      </c>
      <c r="C10" s="4" t="inlineStr">
        <is>
          <t>ECOS 회사채 AA- 3년 + 신용스프레드</t>
        </is>
      </c>
    </row>
    <row r="11">
      <c r="A11" t="inlineStr">
        <is>
          <t>법인세율</t>
        </is>
      </c>
      <c r="B11" s="5" t="n">
        <v>0.264</v>
      </c>
      <c r="C11" s="4" t="inlineStr">
        <is>
          <t>config 가정</t>
        </is>
      </c>
    </row>
    <row r="12">
      <c r="A12" t="inlineStr">
        <is>
          <t>자기자본 비중</t>
        </is>
      </c>
      <c r="B12" s="5" t="n">
        <v>0.287619302752995</v>
      </c>
      <c r="C12" s="4" t="inlineStr">
        <is>
          <t>목표 자본구조</t>
        </is>
      </c>
    </row>
    <row r="13">
      <c r="A13" t="inlineStr">
        <is>
          <t>WACC (CAPM 계산값)</t>
        </is>
      </c>
      <c r="B13" s="7">
        <f>we*ke+(1-we)*kd_pre*(1-tax)</f>
        <v/>
      </c>
      <c r="C13" s="4" t="inlineStr">
        <is>
          <t>참고용</t>
        </is>
      </c>
    </row>
    <row r="14">
      <c r="A14" t="inlineStr">
        <is>
          <t>WACC (채택)</t>
        </is>
      </c>
      <c r="B14" s="5" t="n">
        <v>0.08400000000000001</v>
      </c>
      <c r="C14" s="4" t="inlineStr">
        <is>
          <t>회사 공시값 채택</t>
        </is>
      </c>
    </row>
    <row r="15">
      <c r="A15" t="inlineStr">
        <is>
          <t>영구성장률</t>
        </is>
      </c>
      <c r="B15" s="5" t="n">
        <v>0.02</v>
      </c>
      <c r="C15" s="4" t="inlineStr"/>
    </row>
    <row r="16">
      <c r="A16" t="inlineStr">
        <is>
          <t>기중 현금흐름 가정 (1=예)</t>
        </is>
      </c>
      <c r="B16" s="8" t="n">
        <v>1</v>
      </c>
      <c r="C16" s="4" t="inlineStr">
        <is>
          <t>mid-year convention</t>
        </is>
      </c>
    </row>
    <row r="17">
      <c r="A17" t="inlineStr">
        <is>
          <t>기준연도(2024) 매출 (억원)</t>
        </is>
      </c>
      <c r="B17" s="9" t="n">
        <v>261893.18495804</v>
      </c>
      <c r="C17" s="4" t="inlineStr">
        <is>
          <t>DART</t>
        </is>
      </c>
    </row>
    <row r="18">
      <c r="A18" t="inlineStr">
        <is>
          <t>기준연도 유류 소비량 (백만 배럴 상당)</t>
        </is>
      </c>
      <c r="B18" s="10" t="n">
        <v>68.2326508299771</v>
      </c>
      <c r="C18" s="4" t="inlineStr">
        <is>
          <t>유류비 ÷ (기준연도 평균 유가 × 평균 환율)</t>
        </is>
      </c>
    </row>
    <row r="19">
      <c r="A19" t="inlineStr">
        <is>
          <t>기준연도 평균 환율</t>
        </is>
      </c>
      <c r="B19" s="11" t="n">
        <v>1363.981632653061</v>
      </c>
      <c r="C19" s="4" t="inlineStr">
        <is>
          <t>환율 효과의 기준점</t>
        </is>
      </c>
    </row>
    <row r="20">
      <c r="A20" t="inlineStr">
        <is>
          <t>기준연도 평균 유가</t>
        </is>
      </c>
      <c r="B20" s="10" t="n">
        <v>80.98999999999999</v>
      </c>
      <c r="C20" s="4" t="inlineStr">
        <is>
          <t>유류할증 전가의 기준점</t>
        </is>
      </c>
    </row>
    <row r="21">
      <c r="A21" t="inlineStr">
        <is>
          <t>유가 변동 매출 전가율</t>
        </is>
      </c>
      <c r="B21" s="5" t="n">
        <v>0.5</v>
      </c>
      <c r="C21" s="4" t="inlineStr">
        <is>
          <t>유류할증료 구조 (config 가정)</t>
        </is>
      </c>
    </row>
    <row r="22">
      <c r="A22" t="inlineStr">
        <is>
          <t>매출 달러 연동 비중</t>
        </is>
      </c>
      <c r="B22" s="5" t="n">
        <v>0</v>
      </c>
      <c r="C22" s="4" t="inlineStr">
        <is>
          <t>사업보고서 시장위험 주석</t>
        </is>
      </c>
    </row>
    <row r="23">
      <c r="A23" t="inlineStr">
        <is>
          <t>비유류 비용 달러 연동 비중</t>
        </is>
      </c>
      <c r="B23" s="5" t="n">
        <v>0</v>
      </c>
      <c r="C23" s="4" t="inlineStr">
        <is>
          <t>사업보고서 시장위험 주석</t>
        </is>
      </c>
    </row>
    <row r="24">
      <c r="A24" t="inlineStr">
        <is>
          <t>비유류 현금비용 / 매출</t>
        </is>
      </c>
      <c r="B24" s="5" t="n">
        <v>0.508500841459875</v>
      </c>
      <c r="C24" s="4" t="inlineStr">
        <is>
          <t>과거 평균</t>
        </is>
      </c>
    </row>
    <row r="25">
      <c r="A25" t="inlineStr">
        <is>
          <t>감가상각비 / 매출</t>
        </is>
      </c>
      <c r="B25" s="5" t="n">
        <v>0.1125857446769915</v>
      </c>
      <c r="C25" s="4" t="inlineStr">
        <is>
          <t>과거 평균</t>
        </is>
      </c>
    </row>
    <row r="26">
      <c r="A26" t="inlineStr">
        <is>
          <t>CAPEX / 매출</t>
        </is>
      </c>
      <c r="B26" s="5" t="n">
        <v>0.138294666647064</v>
      </c>
      <c r="C26" s="4" t="inlineStr">
        <is>
          <t>과거 평균</t>
        </is>
      </c>
    </row>
    <row r="27">
      <c r="A27" t="inlineStr">
        <is>
          <t>CAPEX 하한 (감가상각비 대비)</t>
        </is>
      </c>
      <c r="B27" s="12" t="n">
        <v>1</v>
      </c>
      <c r="C27" s="4" t="inlineStr">
        <is>
          <t>리스 사용권자산 취득 반영</t>
        </is>
      </c>
    </row>
    <row r="28">
      <c r="A28" t="inlineStr">
        <is>
          <t>영업운전자본 / 매출</t>
        </is>
      </c>
      <c r="B28" s="5" t="n">
        <v>-0.01266609656628323</v>
      </c>
      <c r="C28" s="4" t="inlineStr">
        <is>
          <t>과거 평균</t>
        </is>
      </c>
    </row>
    <row r="29">
      <c r="A29" t="inlineStr">
        <is>
          <t>기준연도 영업운전자본 (억원)</t>
        </is>
      </c>
      <c r="B29" s="9" t="n">
        <v>-3317.16437073001</v>
      </c>
      <c r="C29" s="4" t="inlineStr">
        <is>
          <t>DART</t>
        </is>
      </c>
    </row>
    <row r="30">
      <c r="A30" t="inlineStr">
        <is>
          <t>영구기간 CAPEX / 감가상각비</t>
        </is>
      </c>
      <c r="B30" s="12" t="n">
        <v>1</v>
      </c>
      <c r="C30" s="4" t="inlineStr"/>
    </row>
    <row r="31">
      <c r="A31" t="inlineStr">
        <is>
          <t>순차입금 (리스부채 포함, 억원)</t>
        </is>
      </c>
      <c r="B31" s="9" t="n">
        <v>172103.07735616</v>
      </c>
      <c r="C31" s="4" t="inlineStr">
        <is>
          <t>DART (재무상태표 공시일 기준)</t>
        </is>
      </c>
    </row>
    <row r="32">
      <c r="A32" t="inlineStr">
        <is>
          <t>순외화부채 (달러)</t>
        </is>
      </c>
      <c r="B32" s="9" t="n">
        <v>3500000000</v>
      </c>
      <c r="C32" s="4" t="inlineStr">
        <is>
          <t>사업보고서 시장위험 공시</t>
        </is>
      </c>
    </row>
    <row r="33">
      <c r="A33" t="inlineStr">
        <is>
          <t>재무상태표 기준일 환율</t>
        </is>
      </c>
      <c r="B33" s="11" t="n">
        <v>1470</v>
      </c>
      <c r="C33" s="4" t="inlineStr">
        <is>
          <t>순차입금이 환산된 시점</t>
        </is>
      </c>
    </row>
    <row r="34">
      <c r="A34" t="inlineStr">
        <is>
          <t>평가일 현물환율</t>
        </is>
      </c>
      <c r="B34" s="11" t="n">
        <v>1466.5</v>
      </c>
      <c r="C34" s="4" t="inlineStr"/>
    </row>
    <row r="35">
      <c r="A35" t="inlineStr">
        <is>
          <t>기준 환율 (1차연도)</t>
        </is>
      </c>
      <c r="B35" s="11" t="n">
        <v>1394.192148760331</v>
      </c>
      <c r="C35" s="4" t="inlineStr">
        <is>
          <t>환율 시나리오의 기준점</t>
        </is>
      </c>
    </row>
    <row r="36">
      <c r="A36" t="inlineStr">
        <is>
          <t>비지배지분 (억원)</t>
        </is>
      </c>
      <c r="B36" s="9" t="n">
        <v>4903.0957853</v>
      </c>
      <c r="C36" s="4" t="inlineStr">
        <is>
          <t>DART</t>
        </is>
      </c>
    </row>
    <row r="37">
      <c r="A37" t="inlineStr">
        <is>
          <t>발행주식수 (주)</t>
        </is>
      </c>
      <c r="B37" s="9" t="n">
        <v>368220661</v>
      </c>
      <c r="C37" s="4" t="inlineStr">
        <is>
          <t>주식시세 API 또는 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항목</t>
        </is>
      </c>
      <c r="B1" s="2" t="inlineStr">
        <is>
          <t>파이썬 계산값</t>
        </is>
      </c>
    </row>
    <row r="2">
      <c r="A2" t="inlineStr">
        <is>
          <t>WACC</t>
        </is>
      </c>
      <c r="B2" s="13" t="n">
        <v>0.08400000000000001</v>
      </c>
    </row>
    <row r="3">
      <c r="A3" t="inlineStr">
        <is>
          <t>기업가치(억원)</t>
        </is>
      </c>
      <c r="B3" s="14" t="n">
        <v>270293.8804579086</v>
      </c>
    </row>
    <row r="4">
      <c r="A4" t="inlineStr">
        <is>
          <t>주당가치(원)</t>
        </is>
      </c>
      <c r="B4" s="14" t="n">
        <v>25367.9972934622</v>
      </c>
    </row>
    <row r="5">
      <c r="A5" t="inlineStr">
        <is>
          <t>시장 주당가격(원)</t>
        </is>
      </c>
      <c r="B5" s="14" t="n">
        <v>21300</v>
      </c>
    </row>
    <row r="6">
      <c r="A6" t="inlineStr">
        <is>
          <t>내재 WACC</t>
        </is>
      </c>
      <c r="B6" s="13" t="n">
        <v>0.08751626610653301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5" t="inlineStr">
        <is>
          <t>대한항공 DCF (단위: 억원, 유가 달러/배럴, 환율 원/달러)</t>
        </is>
      </c>
      <c r="B1" s="2" t="n"/>
      <c r="C1" s="2" t="n"/>
      <c r="D1" s="2" t="n"/>
      <c r="E1" s="2" t="n"/>
      <c r="F1" s="2" t="n"/>
      <c r="G1" s="2" t="n"/>
    </row>
    <row r="2">
      <c r="A2" t="inlineStr">
        <is>
          <t>유가·환율 커브: 최근 평균가격 고정(선물 커브 미반영)</t>
        </is>
      </c>
      <c r="B2" s="2" t="n"/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>
      <c r="A4" s="16" t="inlineStr">
        <is>
          <t>연도</t>
        </is>
      </c>
      <c r="B4" s="2" t="n"/>
      <c r="C4" s="17" t="n">
        <v>2025</v>
      </c>
      <c r="D4" s="17" t="n">
        <v>2026</v>
      </c>
      <c r="E4" s="17" t="n">
        <v>2027</v>
      </c>
      <c r="F4" s="17" t="n">
        <v>2028</v>
      </c>
      <c r="G4" s="17" t="n">
        <v>2029</v>
      </c>
    </row>
    <row r="5">
      <c r="A5" s="18" t="inlineStr">
        <is>
          <t>물량 성장률</t>
        </is>
      </c>
      <c r="B5" s="2" t="n"/>
      <c r="C5" s="5" t="n">
        <v>0.04</v>
      </c>
      <c r="D5" s="5" t="n">
        <v>0.035</v>
      </c>
      <c r="E5" s="5" t="n">
        <v>0.03</v>
      </c>
      <c r="F5" s="5" t="n">
        <v>0.03</v>
      </c>
      <c r="G5" s="5" t="n">
        <v>0.025</v>
      </c>
    </row>
    <row r="6">
      <c r="A6" s="18" t="inlineStr">
        <is>
          <t>누적 성장계수</t>
        </is>
      </c>
      <c r="B6" s="2" t="n"/>
      <c r="C6" s="13">
        <f>1+C5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</row>
    <row r="7">
      <c r="A7" s="18" t="inlineStr">
        <is>
          <t>유가</t>
        </is>
      </c>
      <c r="B7" s="2" t="n"/>
      <c r="C7" s="10" t="n">
        <v>79.41333333333334</v>
      </c>
      <c r="D7" s="10" t="n">
        <v>79.41333333333334</v>
      </c>
      <c r="E7" s="10" t="n">
        <v>79.41333333333334</v>
      </c>
      <c r="F7" s="10" t="n">
        <v>79.41333333333334</v>
      </c>
      <c r="G7" s="10" t="n">
        <v>79.41333333333334</v>
      </c>
    </row>
    <row r="8">
      <c r="A8" s="18" t="inlineStr">
        <is>
          <t>환율</t>
        </is>
      </c>
      <c r="B8" s="2" t="n"/>
      <c r="C8" s="11" t="n">
        <v>1394.192148760331</v>
      </c>
      <c r="D8" s="11" t="n">
        <v>1394.192148760331</v>
      </c>
      <c r="E8" s="11" t="n">
        <v>1394.192148760331</v>
      </c>
      <c r="F8" s="11" t="n">
        <v>1394.192148760331</v>
      </c>
      <c r="G8" s="11" t="n">
        <v>1394.192148760331</v>
      </c>
    </row>
    <row r="9">
      <c r="A9" s="16" t="inlineStr">
        <is>
          <t>매출 (유류할증 전가 포함)</t>
        </is>
      </c>
      <c r="B9" s="2" t="n"/>
      <c r="C9" s="19">
        <f>rev_last*C6*(1+s_rev*(C8/fx_ref-1))+pass_through*C10*(C7-oil_ref)*C8/100</f>
        <v/>
      </c>
      <c r="D9" s="19">
        <f>rev_last*D6*(1+s_rev*(D8/fx_ref-1))+pass_through*D10*(D7-oil_ref)*D8/100</f>
        <v/>
      </c>
      <c r="E9" s="19">
        <f>rev_last*E6*(1+s_rev*(E8/fx_ref-1))+pass_through*E10*(E7-oil_ref)*E8/100</f>
        <v/>
      </c>
      <c r="F9" s="19">
        <f>rev_last*F6*(1+s_rev*(F8/fx_ref-1))+pass_through*F10*(F7-oil_ref)*F8/100</f>
        <v/>
      </c>
      <c r="G9" s="19">
        <f>rev_last*G6*(1+s_rev*(G8/fx_ref-1))+pass_through*G10*(G7-oil_ref)*G8/100</f>
        <v/>
      </c>
    </row>
    <row r="10">
      <c r="A10" s="18" t="inlineStr">
        <is>
          <t>유류 소비량 (백만 배럴 상당)</t>
        </is>
      </c>
      <c r="B10" s="2" t="n"/>
      <c r="C10" s="20">
        <f>fuel_vol_last*C6</f>
        <v/>
      </c>
      <c r="D10" s="20">
        <f>fuel_vol_last*D6</f>
        <v/>
      </c>
      <c r="E10" s="20">
        <f>fuel_vol_last*E6</f>
        <v/>
      </c>
      <c r="F10" s="20">
        <f>fuel_vol_last*F6</f>
        <v/>
      </c>
      <c r="G10" s="20">
        <f>fuel_vol_last*G6</f>
        <v/>
      </c>
    </row>
    <row r="11">
      <c r="A11" s="18" t="inlineStr">
        <is>
          <t>유류비</t>
        </is>
      </c>
      <c r="B11" s="2" t="n"/>
      <c r="C11" s="14">
        <f>C10*C7*C8/100</f>
        <v/>
      </c>
      <c r="D11" s="14">
        <f>D10*D7*D8/100</f>
        <v/>
      </c>
      <c r="E11" s="14">
        <f>E10*E7*E8/100</f>
        <v/>
      </c>
      <c r="F11" s="14">
        <f>F10*F7*F8/100</f>
        <v/>
      </c>
      <c r="G11" s="14">
        <f>G10*G7*G8/100</f>
        <v/>
      </c>
    </row>
    <row r="12">
      <c r="A12" s="18" t="inlineStr">
        <is>
          <t>비유류 현금비용</t>
        </is>
      </c>
      <c r="B12" s="2" t="n"/>
      <c r="C12" s="14">
        <f>nonfuel_ratio*rev_last*C6*(1+s_cost*(C8/fx_ref-1))</f>
        <v/>
      </c>
      <c r="D12" s="14">
        <f>nonfuel_ratio*rev_last*D6*(1+s_cost*(D8/fx_ref-1))</f>
        <v/>
      </c>
      <c r="E12" s="14">
        <f>nonfuel_ratio*rev_last*E6*(1+s_cost*(E8/fx_ref-1))</f>
        <v/>
      </c>
      <c r="F12" s="14">
        <f>nonfuel_ratio*rev_last*F6*(1+s_cost*(F8/fx_ref-1))</f>
        <v/>
      </c>
      <c r="G12" s="14">
        <f>nonfuel_ratio*rev_last*G6*(1+s_cost*(G8/fx_ref-1))</f>
        <v/>
      </c>
    </row>
    <row r="13">
      <c r="A13" s="16" t="inlineStr">
        <is>
          <t>EBITDA</t>
        </is>
      </c>
      <c r="B13" s="2" t="n"/>
      <c r="C13" s="19">
        <f>C9-C11-C12</f>
        <v/>
      </c>
      <c r="D13" s="19">
        <f>D9-D11-D12</f>
        <v/>
      </c>
      <c r="E13" s="19">
        <f>E9-E11-E12</f>
        <v/>
      </c>
      <c r="F13" s="19">
        <f>F9-F11-F12</f>
        <v/>
      </c>
      <c r="G13" s="19">
        <f>G9-G11-G12</f>
        <v/>
      </c>
    </row>
    <row r="14">
      <c r="A14" s="18" t="inlineStr">
        <is>
          <t>감가상각비</t>
        </is>
      </c>
      <c r="B14" s="2" t="n"/>
      <c r="C14" s="14">
        <f>da_ratio*C9</f>
        <v/>
      </c>
      <c r="D14" s="14">
        <f>da_ratio*D9</f>
        <v/>
      </c>
      <c r="E14" s="14">
        <f>da_ratio*E9</f>
        <v/>
      </c>
      <c r="F14" s="14">
        <f>da_ratio*F9</f>
        <v/>
      </c>
      <c r="G14" s="14">
        <f>da_ratio*G9</f>
        <v/>
      </c>
    </row>
    <row r="15">
      <c r="A15" s="18" t="inlineStr">
        <is>
          <t>EBIT</t>
        </is>
      </c>
      <c r="B15" s="2" t="n"/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</row>
    <row r="16">
      <c r="A16" s="18" t="inlineStr">
        <is>
          <t>법인세</t>
        </is>
      </c>
      <c r="B16" s="2" t="n"/>
      <c r="C16" s="14">
        <f>tax*MAX(C15,0)</f>
        <v/>
      </c>
      <c r="D16" s="14">
        <f>tax*MAX(D15,0)</f>
        <v/>
      </c>
      <c r="E16" s="14">
        <f>tax*MAX(E15,0)</f>
        <v/>
      </c>
      <c r="F16" s="14">
        <f>tax*MAX(F15,0)</f>
        <v/>
      </c>
      <c r="G16" s="14">
        <f>tax*MAX(G15,0)</f>
        <v/>
      </c>
    </row>
    <row r="17">
      <c r="A17" s="18" t="inlineStr">
        <is>
          <t>NOPAT</t>
        </is>
      </c>
      <c r="B17" s="2" t="n"/>
      <c r="C17" s="14">
        <f>C15-C16</f>
        <v/>
      </c>
      <c r="D17" s="14">
        <f>D15-D16</f>
        <v/>
      </c>
      <c r="E17" s="14">
        <f>E15-E16</f>
        <v/>
      </c>
      <c r="F17" s="14">
        <f>F15-F16</f>
        <v/>
      </c>
      <c r="G17" s="14">
        <f>G15-G16</f>
        <v/>
      </c>
    </row>
    <row r="18">
      <c r="A18" s="18" t="inlineStr">
        <is>
          <t>CAPEX</t>
        </is>
      </c>
      <c r="B18" s="2" t="n"/>
      <c r="C18" s="14">
        <f>MAX(capex_ratio*C9,capex_floor*C14)</f>
        <v/>
      </c>
      <c r="D18" s="14">
        <f>MAX(capex_ratio*D9,capex_floor*D14)</f>
        <v/>
      </c>
      <c r="E18" s="14">
        <f>MAX(capex_ratio*E9,capex_floor*E14)</f>
        <v/>
      </c>
      <c r="F18" s="14">
        <f>MAX(capex_ratio*F9,capex_floor*F14)</f>
        <v/>
      </c>
      <c r="G18" s="14">
        <f>MAX(capex_ratio*G9,capex_floor*G14)</f>
        <v/>
      </c>
    </row>
    <row r="19">
      <c r="A19" s="18" t="inlineStr">
        <is>
          <t>영업운전자본</t>
        </is>
      </c>
      <c r="B19" s="2" t="n"/>
      <c r="C19" s="14">
        <f>nwc_ratio*C9</f>
        <v/>
      </c>
      <c r="D19" s="14">
        <f>nwc_ratio*D9</f>
        <v/>
      </c>
      <c r="E19" s="14">
        <f>nwc_ratio*E9</f>
        <v/>
      </c>
      <c r="F19" s="14">
        <f>nwc_ratio*F9</f>
        <v/>
      </c>
      <c r="G19" s="14">
        <f>nwc_ratio*G9</f>
        <v/>
      </c>
    </row>
    <row r="20">
      <c r="A20" s="18" t="inlineStr">
        <is>
          <t>운전자본 증감</t>
        </is>
      </c>
      <c r="B20" s="2" t="n"/>
      <c r="C20" s="14">
        <f>C19-nwc_last</f>
        <v/>
      </c>
      <c r="D20" s="14">
        <f>D19-C19</f>
        <v/>
      </c>
      <c r="E20" s="14">
        <f>E19-D19</f>
        <v/>
      </c>
      <c r="F20" s="14">
        <f>F19-E19</f>
        <v/>
      </c>
      <c r="G20" s="14">
        <f>G19-F19</f>
        <v/>
      </c>
    </row>
    <row r="21">
      <c r="A21" s="16" t="inlineStr">
        <is>
          <t>FCFF</t>
        </is>
      </c>
      <c r="B21" s="2" t="n"/>
      <c r="C21" s="21">
        <f>C17+C14-C18-C20</f>
        <v/>
      </c>
      <c r="D21" s="21">
        <f>D17+D14-D18-D20</f>
        <v/>
      </c>
      <c r="E21" s="21">
        <f>E17+E14-E18-E20</f>
        <v/>
      </c>
      <c r="F21" s="21">
        <f>F17+F14-F18-F20</f>
        <v/>
      </c>
      <c r="G21" s="21">
        <f>G17+G14-G18-G20</f>
        <v/>
      </c>
    </row>
    <row r="22">
      <c r="A22" s="18" t="inlineStr">
        <is>
          <t>반영비율 (평가일 이후 기간)</t>
        </is>
      </c>
      <c r="B22" s="2" t="n"/>
      <c r="C22" s="22">
        <f>MIN(MAX((DATE(C4,12,31)-val_date)/365.25,0),1)</f>
        <v/>
      </c>
      <c r="D22" s="22">
        <f>MIN(MAX((DATE(D4,12,31)-val_date)/365.25,0),1)</f>
        <v/>
      </c>
      <c r="E22" s="22">
        <f>MIN(MAX((DATE(E4,12,31)-val_date)/365.25,0),1)</f>
        <v/>
      </c>
      <c r="F22" s="22">
        <f>MIN(MAX((DATE(F4,12,31)-val_date)/365.25,0),1)</f>
        <v/>
      </c>
      <c r="G22" s="22">
        <f>MIN(MAX((DATE(G4,12,31)-val_date)/365.25,0),1)</f>
        <v/>
      </c>
    </row>
    <row r="23">
      <c r="A23" s="18" t="inlineStr">
        <is>
          <t>할인기간 (년)</t>
        </is>
      </c>
      <c r="B23" s="2" t="n"/>
      <c r="C23" s="22">
        <f>(DATE(C4,12,31)-val_date)/365.25-IF(mid=1,C22/2,0)</f>
        <v/>
      </c>
      <c r="D23" s="22">
        <f>(DATE(D4,12,31)-val_date)/365.25-IF(mid=1,D22/2,0)</f>
        <v/>
      </c>
      <c r="E23" s="22">
        <f>(DATE(E4,12,31)-val_date)/365.25-IF(mid=1,E22/2,0)</f>
        <v/>
      </c>
      <c r="F23" s="22">
        <f>(DATE(F4,12,31)-val_date)/365.25-IF(mid=1,F22/2,0)</f>
        <v/>
      </c>
      <c r="G23" s="22">
        <f>(DATE(G4,12,31)-val_date)/365.25-IF(mid=1,G22/2,0)</f>
        <v/>
      </c>
    </row>
    <row r="24">
      <c r="A24" s="18" t="inlineStr">
        <is>
          <t>할인계수</t>
        </is>
      </c>
      <c r="B24" s="2" t="n"/>
      <c r="C24" s="13">
        <f>1/(1+wacc)^C23</f>
        <v/>
      </c>
      <c r="D24" s="13">
        <f>1/(1+wacc)^D23</f>
        <v/>
      </c>
      <c r="E24" s="13">
        <f>1/(1+wacc)^E23</f>
        <v/>
      </c>
      <c r="F24" s="13">
        <f>1/(1+wacc)^F23</f>
        <v/>
      </c>
      <c r="G24" s="13">
        <f>1/(1+wacc)^G23</f>
        <v/>
      </c>
    </row>
    <row r="25">
      <c r="A25" s="16" t="inlineStr">
        <is>
          <t>FCFF 현재가치</t>
        </is>
      </c>
      <c r="B25" s="2" t="n"/>
      <c r="C25" s="19">
        <f>C21*C22*C24</f>
        <v/>
      </c>
      <c r="D25" s="19">
        <f>D21*D22*D24</f>
        <v/>
      </c>
      <c r="E25" s="19">
        <f>E21*E22*E24</f>
        <v/>
      </c>
      <c r="F25" s="19">
        <f>F21*F22*F24</f>
        <v/>
      </c>
      <c r="G25" s="19">
        <f>G21*G22*G24</f>
        <v/>
      </c>
    </row>
    <row r="26">
      <c r="B26" s="2" t="n"/>
      <c r="C26" s="2" t="n"/>
      <c r="D26" s="2" t="n"/>
      <c r="E26" s="2" t="n"/>
      <c r="F26" s="2" t="n"/>
      <c r="G26" s="2" t="n"/>
    </row>
    <row r="27">
      <c r="B27" s="2" t="n"/>
      <c r="C27" s="2" t="n"/>
      <c r="D27" s="2" t="n"/>
      <c r="E27" s="2" t="n"/>
      <c r="F27" s="2" t="n"/>
      <c r="G27" s="2" t="n"/>
    </row>
    <row r="28">
      <c r="A28" t="inlineStr">
        <is>
          <t>영구기간 매출</t>
        </is>
      </c>
      <c r="B28" s="2" t="n"/>
      <c r="C28" s="14">
        <f>G9*(1+g)</f>
        <v/>
      </c>
      <c r="D28" s="2" t="n"/>
      <c r="E28" s="2" t="n"/>
      <c r="F28" s="2" t="n"/>
      <c r="G28" s="2" t="n"/>
    </row>
    <row r="29">
      <c r="A29" t="inlineStr">
        <is>
          <t>영구기간 EBITDA</t>
        </is>
      </c>
      <c r="B29" s="2" t="n"/>
      <c r="C29" s="14">
        <f>G13*(1+g)</f>
        <v/>
      </c>
      <c r="D29" s="2" t="n"/>
      <c r="E29" s="2" t="n"/>
      <c r="F29" s="2" t="n"/>
      <c r="G29" s="2" t="n"/>
    </row>
    <row r="30">
      <c r="A30" t="inlineStr">
        <is>
          <t>영구기간 감가상각비</t>
        </is>
      </c>
      <c r="B30" s="2" t="n"/>
      <c r="C30" s="14">
        <f>da_ratio*C28</f>
        <v/>
      </c>
      <c r="D30" s="2" t="n"/>
      <c r="E30" s="2" t="n"/>
      <c r="F30" s="2" t="n"/>
      <c r="G30" s="2" t="n"/>
    </row>
    <row r="31">
      <c r="A31" t="inlineStr">
        <is>
          <t>영구기간 EBIT</t>
        </is>
      </c>
      <c r="B31" s="2" t="n"/>
      <c r="C31" s="14">
        <f>C29-C30</f>
        <v/>
      </c>
      <c r="D31" s="2" t="n"/>
      <c r="E31" s="2" t="n"/>
      <c r="F31" s="2" t="n"/>
      <c r="G31" s="2" t="n"/>
    </row>
    <row r="32">
      <c r="A32" t="inlineStr">
        <is>
          <t>영구기간 NOPAT</t>
        </is>
      </c>
      <c r="B32" s="2" t="n"/>
      <c r="C32" s="14">
        <f>C31-tax*MAX(C31,0)</f>
        <v/>
      </c>
      <c r="D32" s="2" t="n"/>
      <c r="E32" s="2" t="n"/>
      <c r="F32" s="2" t="n"/>
      <c r="G32" s="2" t="n"/>
    </row>
    <row r="33">
      <c r="A33" t="inlineStr">
        <is>
          <t>영구기간 CAPEX</t>
        </is>
      </c>
      <c r="B33" s="2" t="n"/>
      <c r="C33" s="14">
        <f>tcapex_da*C30</f>
        <v/>
      </c>
      <c r="D33" s="2" t="n"/>
      <c r="E33" s="2" t="n"/>
      <c r="F33" s="2" t="n"/>
      <c r="G33" s="2" t="n"/>
    </row>
    <row r="34">
      <c r="A34" t="inlineStr">
        <is>
          <t>영구기간 운전자본 증감</t>
        </is>
      </c>
      <c r="B34" s="2" t="n"/>
      <c r="C34" s="14">
        <f>nwc_ratio*(C28-G9)</f>
        <v/>
      </c>
      <c r="D34" s="2" t="n"/>
      <c r="E34" s="2" t="n"/>
      <c r="F34" s="2" t="n"/>
      <c r="G34" s="2" t="n"/>
    </row>
    <row r="35">
      <c r="A35" t="inlineStr">
        <is>
          <t>영구기간 FCFF</t>
        </is>
      </c>
      <c r="B35" s="2" t="n"/>
      <c r="C35" s="14">
        <f>C32+C30-C33-C34</f>
        <v/>
      </c>
      <c r="D35" s="2" t="n"/>
      <c r="E35" s="2" t="n"/>
      <c r="F35" s="2" t="n"/>
      <c r="G35" s="2" t="n"/>
    </row>
    <row r="36">
      <c r="A36" t="inlineStr">
        <is>
          <t>잔존가치 (영구성장)</t>
        </is>
      </c>
      <c r="B36" s="2" t="n"/>
      <c r="C36" s="14">
        <f>C35/(wacc-g)</f>
        <v/>
      </c>
      <c r="D36" s="2" t="n"/>
      <c r="E36" s="2" t="n"/>
      <c r="F36" s="2" t="n"/>
      <c r="G36" s="2" t="n"/>
    </row>
    <row r="37">
      <c r="A37" t="inlineStr">
        <is>
          <t>잔존가치 할인기간</t>
        </is>
      </c>
      <c r="B37" s="2" t="n"/>
      <c r="C37" s="22">
        <f>(DATE(G4,12,31)-val_date)/365.25-IF(mid=1,0.5,0)</f>
        <v/>
      </c>
      <c r="D37" s="2" t="n"/>
      <c r="E37" s="2" t="n"/>
      <c r="F37" s="2" t="n"/>
      <c r="G37" s="2" t="n"/>
    </row>
    <row r="38">
      <c r="A38" t="inlineStr">
        <is>
          <t>잔존가치 현재가치</t>
        </is>
      </c>
      <c r="B38" s="2" t="n"/>
      <c r="C38" s="14">
        <f>C36/(1+wacc)^C37</f>
        <v/>
      </c>
      <c r="D38" s="2" t="n"/>
      <c r="E38" s="2" t="n"/>
      <c r="F38" s="2" t="n"/>
      <c r="G38" s="2" t="n"/>
    </row>
    <row r="39">
      <c r="A39" t="inlineStr">
        <is>
          <t>예측기간 FCFF 현재가치 합계</t>
        </is>
      </c>
      <c r="B39" s="2" t="n"/>
      <c r="C39" s="14">
        <f>SUM(C25:G25)</f>
        <v/>
      </c>
      <c r="D39" s="2" t="n"/>
      <c r="E39" s="2" t="n"/>
      <c r="F39" s="2" t="n"/>
      <c r="G39" s="2" t="n"/>
    </row>
    <row r="40">
      <c r="A40" s="16" t="inlineStr">
        <is>
          <t>기업가치 (EV)</t>
        </is>
      </c>
      <c r="B40" s="2" t="n"/>
      <c r="C40" s="19">
        <f>C38+C39</f>
        <v/>
      </c>
      <c r="D40" s="2" t="n"/>
      <c r="E40" s="2" t="n"/>
      <c r="F40" s="2" t="n"/>
      <c r="G40" s="2" t="n"/>
    </row>
    <row r="41">
      <c r="A41" t="inlineStr">
        <is>
          <t>(-) 순차입금 (공시)</t>
        </is>
      </c>
      <c r="B41" s="2" t="n"/>
      <c r="C41" s="14">
        <f>net_debt</f>
        <v/>
      </c>
      <c r="D41" s="2" t="n"/>
      <c r="E41" s="2" t="n"/>
      <c r="F41" s="2" t="n"/>
      <c r="G41" s="2" t="n"/>
    </row>
    <row r="42">
      <c r="A42" t="inlineStr">
        <is>
          <t>(-) 환율 재평가 (순외화부채)</t>
        </is>
      </c>
      <c r="B42" s="2" t="n"/>
      <c r="C42" s="14">
        <f>usd_net_debt*(fx_spot*C8/fx_curve0-fx_bs)/100000000</f>
        <v/>
      </c>
      <c r="D42" s="2" t="n"/>
      <c r="E42" s="2" t="n"/>
      <c r="F42" s="2" t="n"/>
      <c r="G42" s="2" t="n"/>
    </row>
    <row r="43">
      <c r="A43" t="inlineStr">
        <is>
          <t>(-) 비지배지분</t>
        </is>
      </c>
      <c r="B43" s="2" t="n"/>
      <c r="C43" s="14">
        <f>nci</f>
        <v/>
      </c>
      <c r="D43" s="2" t="n"/>
      <c r="E43" s="2" t="n"/>
      <c r="F43" s="2" t="n"/>
      <c r="G43" s="2" t="n"/>
    </row>
    <row r="44">
      <c r="A44" s="16" t="inlineStr">
        <is>
          <t>주주가치</t>
        </is>
      </c>
      <c r="B44" s="2" t="n"/>
      <c r="C44" s="19">
        <f>C40-C41-C42-C43</f>
        <v/>
      </c>
      <c r="D44" s="2" t="n"/>
      <c r="E44" s="2" t="n"/>
      <c r="F44" s="2" t="n"/>
      <c r="G44" s="2" t="n"/>
    </row>
    <row r="45">
      <c r="A45" s="16" t="inlineStr">
        <is>
          <t>주당가치 (원)</t>
        </is>
      </c>
      <c r="B45" s="2" t="n"/>
      <c r="C45" s="19">
        <f>C44*100000000/shares</f>
        <v/>
      </c>
      <c r="D45" s="2" t="n"/>
      <c r="E45" s="2" t="n"/>
      <c r="F45" s="2" t="n"/>
      <c r="G45" s="2" t="n"/>
    </row>
    <row r="46">
      <c r="A46" t="inlineStr">
        <is>
          <t>잔존가치 비중</t>
        </is>
      </c>
      <c r="B46" s="2" t="n"/>
      <c r="C46" s="23">
        <f>C38/C40</f>
        <v/>
      </c>
      <c r="D46" s="2" t="n"/>
      <c r="E46" s="2" t="n"/>
      <c r="F46" s="2" t="n"/>
      <c r="G4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26" customWidth="1" min="4" max="4"/>
    <col width="12" customWidth="1" min="5" max="5"/>
    <col width="12" customWidth="1" min="6" max="6"/>
    <col width="30" customWidth="1" min="7" max="7"/>
    <col width="40" customWidth="1" min="8" max="8"/>
    <col width="12" customWidth="1" min="9" max="9"/>
    <col width="26" customWidth="1" min="10" max="10"/>
    <col width="36" customWidth="1" min="11" max="11"/>
    <col width="28" customWidth="1" min="12" max="12"/>
    <col width="28" customWidth="1" min="13" max="13"/>
    <col width="12" customWidth="1" min="14" max="14"/>
    <col width="20" customWidth="1" min="15" max="15"/>
    <col width="14" customWidth="1" min="16" max="16"/>
    <col width="28" customWidth="1" min="17" max="17"/>
    <col width="18" customWidth="1" min="18" max="18"/>
    <col width="36" customWidth="1" min="19" max="19"/>
  </cols>
  <sheetData>
    <row r="1">
      <c r="A1" s="24" t="inlineStr">
        <is>
          <t>year</t>
        </is>
      </c>
      <c r="B1" s="25" t="inlineStr">
        <is>
          <t>revenue</t>
        </is>
      </c>
      <c r="C1" s="25" t="inlineStr">
        <is>
          <t>operating_income</t>
        </is>
      </c>
      <c r="D1" s="25" t="inlineStr">
        <is>
          <t>depreciation</t>
        </is>
      </c>
      <c r="E1" s="25" t="inlineStr">
        <is>
          <t>capex</t>
        </is>
      </c>
      <c r="F1" s="25" t="inlineStr">
        <is>
          <t>cash</t>
        </is>
      </c>
      <c r="G1" s="25" t="inlineStr">
        <is>
          <t>current_assets</t>
        </is>
      </c>
      <c r="H1" s="25" t="inlineStr">
        <is>
          <t>current_liabilities</t>
        </is>
      </c>
      <c r="I1" s="25" t="inlineStr">
        <is>
          <t>debt</t>
        </is>
      </c>
      <c r="J1" s="25" t="inlineStr">
        <is>
          <t>current_debt</t>
        </is>
      </c>
      <c r="K1" s="25" t="inlineStr">
        <is>
          <t>lease_liabilities</t>
        </is>
      </c>
      <c r="L1" s="25" t="inlineStr">
        <is>
          <t>current_lease</t>
        </is>
      </c>
      <c r="M1" s="25" t="inlineStr">
        <is>
          <t>equity_parent</t>
        </is>
      </c>
      <c r="N1" s="25" t="inlineStr">
        <is>
          <t>nci</t>
        </is>
      </c>
      <c r="O1" s="25" t="inlineStr">
        <is>
          <t>fuel_cost</t>
        </is>
      </c>
      <c r="P1" s="25" t="inlineStr">
        <is>
          <t>ebitda</t>
        </is>
      </c>
      <c r="Q1" s="25" t="inlineStr">
        <is>
          <t>operating_nwc</t>
        </is>
      </c>
      <c r="R1" s="25" t="inlineStr">
        <is>
          <t>net_debt</t>
        </is>
      </c>
      <c r="S1" s="25" t="inlineStr">
        <is>
          <t>nonfuel_cash_opex</t>
        </is>
      </c>
    </row>
    <row r="2">
      <c r="A2" t="n">
        <v>2021</v>
      </c>
      <c r="B2" s="14" t="n">
        <v>90168.2</v>
      </c>
      <c r="C2" s="14" t="n">
        <v>14179.7</v>
      </c>
      <c r="D2" s="14" t="n">
        <v>16953.6</v>
      </c>
      <c r="E2" s="14" t="n">
        <v>3482.1</v>
      </c>
      <c r="F2" s="14" t="n">
        <v>11853.8</v>
      </c>
      <c r="G2" s="14" t="n">
        <v>66410</v>
      </c>
      <c r="H2" s="14" t="n">
        <v>84449.3</v>
      </c>
      <c r="I2" s="14" t="n">
        <v>69058.5</v>
      </c>
      <c r="J2" s="14" t="n">
        <v>39746</v>
      </c>
      <c r="K2" s="14" t="n">
        <v>56010.2</v>
      </c>
      <c r="L2" s="14" t="n">
        <v>13829.3</v>
      </c>
      <c r="M2" s="14" t="n">
        <v>67539</v>
      </c>
      <c r="N2" s="14" t="n">
        <v>1117.9</v>
      </c>
      <c r="O2" s="14" t="n">
        <v>17860.8</v>
      </c>
      <c r="P2" s="14" t="n">
        <v>31133.3</v>
      </c>
      <c r="Q2" s="14" t="n">
        <v>23682.2</v>
      </c>
      <c r="R2" s="14" t="n">
        <v>113214.9</v>
      </c>
      <c r="S2" s="14" t="n">
        <v>41174.1</v>
      </c>
    </row>
    <row r="3">
      <c r="A3" t="n">
        <v>2022</v>
      </c>
      <c r="B3" s="14" t="n">
        <v>203027.9</v>
      </c>
      <c r="C3" s="14" t="n">
        <v>34293.9</v>
      </c>
      <c r="D3" s="14" t="n">
        <v>26396</v>
      </c>
      <c r="E3" s="14" t="n">
        <v>11648.6</v>
      </c>
      <c r="F3" s="14" t="n">
        <v>10569</v>
      </c>
      <c r="G3" s="14" t="n">
        <v>80909.39999999999</v>
      </c>
      <c r="H3" s="14" t="n">
        <v>84751.8</v>
      </c>
      <c r="I3" s="14" t="n">
        <v>62877.9</v>
      </c>
      <c r="J3" s="14" t="n">
        <v>23231.3</v>
      </c>
      <c r="K3" s="14" t="n">
        <v>48495.2</v>
      </c>
      <c r="L3" s="14" t="n">
        <v>13331.5</v>
      </c>
      <c r="M3" s="14" t="n">
        <v>89941.89999999999</v>
      </c>
      <c r="N3" s="14" t="n">
        <v>2982.7</v>
      </c>
      <c r="O3" s="14" t="n">
        <v>62063.7</v>
      </c>
      <c r="P3" s="14" t="n">
        <v>60689.9</v>
      </c>
      <c r="Q3" s="14" t="n">
        <v>22151.3</v>
      </c>
      <c r="R3" s="14" t="n">
        <v>100804.1</v>
      </c>
      <c r="S3" s="14" t="n">
        <v>80274.3</v>
      </c>
    </row>
    <row r="4">
      <c r="A4" t="n">
        <v>2023</v>
      </c>
      <c r="B4" s="14" t="n">
        <v>237351</v>
      </c>
      <c r="C4" s="14" t="n">
        <v>24099.9</v>
      </c>
      <c r="D4" s="14" t="n">
        <v>27274.5</v>
      </c>
      <c r="E4" s="14" t="n">
        <v>25260.4</v>
      </c>
      <c r="F4" s="14" t="n">
        <v>6227.9</v>
      </c>
      <c r="G4" s="14" t="n">
        <v>85951.7</v>
      </c>
      <c r="H4" s="14" t="n">
        <v>94098.60000000001</v>
      </c>
      <c r="I4" s="14" t="n">
        <v>65123.9</v>
      </c>
      <c r="J4" s="14" t="n">
        <v>25605.7</v>
      </c>
      <c r="K4" s="14" t="n">
        <v>44344.8</v>
      </c>
      <c r="L4" s="14" t="n">
        <v>11788</v>
      </c>
      <c r="M4" s="14" t="n">
        <v>95260</v>
      </c>
      <c r="N4" s="14" t="n">
        <v>2892.1</v>
      </c>
      <c r="O4" s="14" t="n">
        <v>72315.7</v>
      </c>
      <c r="P4" s="14" t="n">
        <v>51374.3</v>
      </c>
      <c r="Q4" s="14" t="n">
        <v>23018.9</v>
      </c>
      <c r="R4" s="14" t="n">
        <v>103240.8</v>
      </c>
      <c r="S4" s="14" t="n">
        <v>113660.9</v>
      </c>
    </row>
    <row r="5">
      <c r="A5" t="n">
        <v>2024</v>
      </c>
      <c r="B5" s="14" t="n">
        <v>261893.2</v>
      </c>
      <c r="C5" s="14" t="n">
        <v>23859</v>
      </c>
      <c r="D5" s="14" t="n">
        <v>29485.4</v>
      </c>
      <c r="E5" s="14" t="n">
        <v>36218.4</v>
      </c>
      <c r="F5" s="14" t="n">
        <v>22156.2</v>
      </c>
      <c r="G5" s="14" t="n">
        <v>116168.7</v>
      </c>
      <c r="H5" s="14" t="n">
        <v>169734.9</v>
      </c>
      <c r="I5" s="14" t="n">
        <v>84992.89999999999</v>
      </c>
      <c r="J5" s="14" t="n">
        <v>50584.4</v>
      </c>
      <c r="K5" s="14" t="n">
        <v>109266.4</v>
      </c>
      <c r="L5" s="14" t="n">
        <v>21820.8</v>
      </c>
      <c r="M5" s="14" t="n">
        <v>104728.8</v>
      </c>
      <c r="N5" s="14" t="n">
        <v>4903.1</v>
      </c>
      <c r="O5" s="14" t="n">
        <v>75375.8</v>
      </c>
      <c r="P5" s="14" t="n">
        <v>53344.4</v>
      </c>
      <c r="Q5" s="14" t="n">
        <v>-3317.2</v>
      </c>
      <c r="R5" s="14" t="n">
        <v>172103.1</v>
      </c>
      <c r="S5" s="14" t="n">
        <v>133172.9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4" t="inlineStr">
        <is>
          <t>항목</t>
        </is>
      </c>
      <c r="B1" s="25" t="inlineStr">
        <is>
          <t>값</t>
        </is>
      </c>
    </row>
    <row r="2">
      <c r="A2" t="inlineStr">
        <is>
          <t>risk_free</t>
        </is>
      </c>
      <c r="B2" s="13" t="n">
        <v>0.02771</v>
      </c>
    </row>
    <row r="3">
      <c r="A3" t="inlineStr">
        <is>
          <t>raw_beta</t>
        </is>
      </c>
      <c r="B3" s="13" t="n">
        <v>0.6201233907132986</v>
      </c>
    </row>
    <row r="4">
      <c r="A4" t="inlineStr">
        <is>
          <t>adjusted_beta</t>
        </is>
      </c>
      <c r="B4" s="13" t="n">
        <v>0.7454826717779102</v>
      </c>
    </row>
    <row r="5">
      <c r="A5" t="inlineStr">
        <is>
          <t>unlevered_beta</t>
        </is>
      </c>
      <c r="B5" s="13" t="n">
        <v>0.2640804148463967</v>
      </c>
    </row>
    <row r="6">
      <c r="A6" t="inlineStr">
        <is>
          <t>relevered_beta</t>
        </is>
      </c>
      <c r="B6" s="13" t="n">
        <v>0.7454826717779101</v>
      </c>
    </row>
    <row r="7">
      <c r="A7" t="inlineStr">
        <is>
          <t>erp</t>
        </is>
      </c>
      <c r="B7" s="13" t="n">
        <v>0.07000000000000001</v>
      </c>
    </row>
    <row r="8">
      <c r="A8" t="inlineStr">
        <is>
          <t>size_premium</t>
        </is>
      </c>
      <c r="B8" s="13" t="n">
        <v>0</v>
      </c>
    </row>
    <row r="9">
      <c r="A9" t="inlineStr">
        <is>
          <t>cost_of_equity</t>
        </is>
      </c>
      <c r="B9" s="13" t="n">
        <v>0.07989378702445371</v>
      </c>
    </row>
    <row r="10">
      <c r="A10" t="inlineStr">
        <is>
          <t>pre_tax_kd</t>
        </is>
      </c>
      <c r="B10" s="13" t="n">
        <v>0.04140000000000001</v>
      </c>
    </row>
    <row r="11">
      <c r="A11" t="inlineStr">
        <is>
          <t>after_tax_kd</t>
        </is>
      </c>
      <c r="B11" s="13" t="n">
        <v>0.03047040000000001</v>
      </c>
    </row>
    <row r="12">
      <c r="A12" t="inlineStr">
        <is>
          <t>equity_value</t>
        </is>
      </c>
      <c r="B12" s="13" t="n">
        <v>78431.000793</v>
      </c>
    </row>
    <row r="13">
      <c r="A13" t="inlineStr">
        <is>
          <t>debt_value</t>
        </is>
      </c>
      <c r="B13" s="13" t="n">
        <v>194259.32298668</v>
      </c>
    </row>
    <row r="14">
      <c r="A14" t="inlineStr">
        <is>
          <t>equity_weight</t>
        </is>
      </c>
      <c r="B14" s="13" t="n">
        <v>0.287619302752995</v>
      </c>
    </row>
    <row r="15">
      <c r="A15" t="inlineStr">
        <is>
          <t>debt_weight</t>
        </is>
      </c>
      <c r="B15" s="13" t="n">
        <v>0.712380697247005</v>
      </c>
    </row>
    <row r="16">
      <c r="A16" t="inlineStr">
        <is>
          <t>tax_rate</t>
        </is>
      </c>
      <c r="B16" s="13" t="n">
        <v>0.264</v>
      </c>
    </row>
    <row r="17">
      <c r="A17" t="inlineStr">
        <is>
          <t>beta_source</t>
        </is>
      </c>
      <c r="B17" s="2" t="inlineStr">
        <is>
          <t>KOSPI 반도체 제외 대비 주간수익률 회귀 (104주, R² 18.0%)</t>
        </is>
      </c>
    </row>
    <row r="18">
      <c r="A18" t="inlineStr">
        <is>
          <t>override</t>
        </is>
      </c>
      <c r="B18" s="13" t="n">
        <v>0.08400000000000001</v>
      </c>
    </row>
    <row r="19">
      <c r="A19" t="inlineStr">
        <is>
          <t>capm_wacc</t>
        </is>
      </c>
      <c r="B19" s="13" t="n">
        <v>0.0446855201156648</v>
      </c>
    </row>
    <row r="20">
      <c r="A20" t="inlineStr">
        <is>
          <t>wacc</t>
        </is>
      </c>
      <c r="B20" s="13" t="n">
        <v>0.08400000000000001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</cols>
  <sheetData>
    <row r="1">
      <c r="A1" s="24" t="inlineStr">
        <is>
          <t>항목</t>
        </is>
      </c>
      <c r="B1" s="25" t="inlineStr">
        <is>
          <t>시장가격이 함축하는 값</t>
        </is>
      </c>
      <c r="C1" s="25" t="inlineStr">
        <is>
          <t>모델 가정</t>
        </is>
      </c>
    </row>
    <row r="2">
      <c r="A2" t="inlineStr">
        <is>
          <t>할인율(WACC)</t>
        </is>
      </c>
      <c r="B2" s="2" t="inlineStr">
        <is>
          <t>8.75%</t>
        </is>
      </c>
      <c r="C2" s="2" t="inlineStr">
        <is>
          <t>8.40%</t>
        </is>
      </c>
    </row>
    <row r="3">
      <c r="A3" t="inlineStr">
        <is>
          <t>영구성장률</t>
        </is>
      </c>
      <c r="B3" s="2" t="inlineStr">
        <is>
          <t>1.58%</t>
        </is>
      </c>
      <c r="C3" s="2" t="inlineStr">
        <is>
          <t>2.00%</t>
        </is>
      </c>
    </row>
    <row r="4">
      <c r="A4" t="inlineStr">
        <is>
          <t>비유류 현금비용/매출</t>
        </is>
      </c>
      <c r="B4" s="2" t="inlineStr">
        <is>
          <t>51.3%</t>
        </is>
      </c>
      <c r="C4" s="2" t="inlineStr">
        <is>
          <t>50.9%</t>
        </is>
      </c>
    </row>
    <row r="5">
      <c r="A5" t="inlineStr">
        <is>
          <t>유가(달러/배럴)</t>
        </is>
      </c>
      <c r="B5" s="2" t="inlineStr">
        <is>
          <t>82</t>
        </is>
      </c>
      <c r="C5" s="2" t="inlineStr">
        <is>
          <t>79</t>
        </is>
      </c>
    </row>
    <row r="6">
      <c r="A6" t="inlineStr">
        <is>
          <t>EV/EBITDA(배)</t>
        </is>
      </c>
      <c r="B6" s="2" t="inlineStr">
        <is>
          <t>4.8</t>
        </is>
      </c>
      <c r="C6" s="2" t="inlineStr">
        <is>
          <t>5.1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20" customWidth="1" min="5" max="5"/>
    <col width="16" customWidth="1" min="6" max="6"/>
  </cols>
  <sheetData>
    <row r="1">
      <c r="A1" s="24" t="inlineStr">
        <is>
          <t>비율 기간</t>
        </is>
      </c>
      <c r="B1" s="25" t="inlineStr">
        <is>
          <t>비유류비/매출</t>
        </is>
      </c>
      <c r="C1" s="25" t="inlineStr">
        <is>
          <t>할인율</t>
        </is>
      </c>
      <c r="D1" s="25" t="inlineStr">
        <is>
          <t>EV(억원)</t>
        </is>
      </c>
      <c r="E1" s="25" t="inlineStr">
        <is>
          <t>EV/EBITDA</t>
        </is>
      </c>
      <c r="F1" s="25" t="inlineStr">
        <is>
          <t>주당가치(원)</t>
        </is>
      </c>
    </row>
    <row r="2">
      <c r="A2" t="inlineStr">
        <is>
          <t>2024년만</t>
        </is>
      </c>
      <c r="B2" s="2" t="inlineStr">
        <is>
          <t>50.9%</t>
        </is>
      </c>
      <c r="C2" s="2" t="inlineStr">
        <is>
          <t>CAPM 계산값 4.47%</t>
        </is>
      </c>
      <c r="D2" s="26" t="n">
        <v>732270.8</v>
      </c>
      <c r="E2" s="26" t="n">
        <v>13.7</v>
      </c>
      <c r="F2" s="26" t="n">
        <v>150830</v>
      </c>
    </row>
    <row r="3">
      <c r="A3" t="inlineStr">
        <is>
          <t>2024년만</t>
        </is>
      </c>
      <c r="B3" s="2" t="inlineStr">
        <is>
          <t>50.9%</t>
        </is>
      </c>
      <c r="C3" s="2" t="inlineStr">
        <is>
          <t>채택(공시 8.4%) 8.40%</t>
        </is>
      </c>
      <c r="D3" s="26" t="n">
        <v>270293.9</v>
      </c>
      <c r="E3" s="26" t="n">
        <v>5.1</v>
      </c>
      <c r="F3" s="26" t="n">
        <v>25368</v>
      </c>
    </row>
    <row r="4">
      <c r="A4" t="inlineStr">
        <is>
          <t>2022~2024 평균</t>
        </is>
      </c>
      <c r="B4" s="2" t="inlineStr">
        <is>
          <t>46.1%</t>
        </is>
      </c>
      <c r="C4" s="2" t="inlineStr">
        <is>
          <t>CAPM 계산값 4.47%</t>
        </is>
      </c>
      <c r="D4" s="26" t="n">
        <v>1085586.1</v>
      </c>
      <c r="E4" s="26" t="n">
        <v>20.4</v>
      </c>
      <c r="F4" s="26" t="n">
        <v>246782</v>
      </c>
    </row>
    <row r="5">
      <c r="A5" t="inlineStr">
        <is>
          <t>2022~2024 평균</t>
        </is>
      </c>
      <c r="B5" s="2" t="inlineStr">
        <is>
          <t>46.1%</t>
        </is>
      </c>
      <c r="C5" s="2" t="inlineStr">
        <is>
          <t>채택(공시 8.4%) 8.40%</t>
        </is>
      </c>
      <c r="D5" s="26" t="n">
        <v>416123.5</v>
      </c>
      <c r="E5" s="26" t="n">
        <v>7.8</v>
      </c>
      <c r="F5" s="26" t="n">
        <v>64971.9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4" t="inlineStr">
        <is>
          <t>index</t>
        </is>
      </c>
      <c r="B1" s="25" t="inlineStr">
        <is>
          <t>1.50%</t>
        </is>
      </c>
      <c r="C1" s="25" t="inlineStr">
        <is>
          <t>1.75%</t>
        </is>
      </c>
      <c r="D1" s="25" t="inlineStr">
        <is>
          <t>2.00%</t>
        </is>
      </c>
      <c r="E1" s="25" t="inlineStr">
        <is>
          <t>2.25%</t>
        </is>
      </c>
      <c r="F1" s="25" t="inlineStr">
        <is>
          <t>2.50%</t>
        </is>
      </c>
    </row>
    <row r="2">
      <c r="A2" t="inlineStr">
        <is>
          <t>7.40%</t>
        </is>
      </c>
      <c r="B2" s="14" t="n">
        <v>33077.6763671701</v>
      </c>
      <c r="C2" s="14" t="n">
        <v>36323.37133260326</v>
      </c>
      <c r="D2" s="14" t="n">
        <v>39869.59360965054</v>
      </c>
      <c r="E2" s="14" t="n">
        <v>43760.10931165389</v>
      </c>
      <c r="F2" s="14" t="n">
        <v>48047.6164118208</v>
      </c>
    </row>
    <row r="3">
      <c r="A3" t="inlineStr">
        <is>
          <t>7.90%</t>
        </is>
      </c>
      <c r="B3" s="14" t="n">
        <v>26348.55612065448</v>
      </c>
      <c r="C3" s="14" t="n">
        <v>29058.44933274219</v>
      </c>
      <c r="D3" s="14" t="n">
        <v>31997.99451195593</v>
      </c>
      <c r="E3" s="14" t="n">
        <v>35197.67643269305</v>
      </c>
      <c r="F3" s="14" t="n">
        <v>38693.62519794283</v>
      </c>
    </row>
    <row r="4">
      <c r="A4" t="inlineStr">
        <is>
          <t>8.40%</t>
        </is>
      </c>
      <c r="B4" s="14" t="n">
        <v>20605.50795939226</v>
      </c>
      <c r="C4" s="14" t="n">
        <v>22897.23215022291</v>
      </c>
      <c r="D4" s="14" t="n">
        <v>25367.9972934622</v>
      </c>
      <c r="E4" s="14" t="n">
        <v>28039.63765159898</v>
      </c>
      <c r="F4" s="14" t="n">
        <v>30937.68820957785</v>
      </c>
    </row>
    <row r="5">
      <c r="A5" t="inlineStr">
        <is>
          <t>8.90%</t>
        </is>
      </c>
      <c r="B5" s="14" t="n">
        <v>15648.3617377228</v>
      </c>
      <c r="C5" s="14" t="n">
        <v>17607.87239457286</v>
      </c>
      <c r="D5" s="14" t="n">
        <v>19709.37657728159</v>
      </c>
      <c r="E5" s="14" t="n">
        <v>21968.88859327671</v>
      </c>
      <c r="F5" s="14" t="n">
        <v>24404.92498552141</v>
      </c>
    </row>
    <row r="6">
      <c r="A6" t="inlineStr">
        <is>
          <t>9.40%</t>
        </is>
      </c>
      <c r="B6" s="14" t="n">
        <v>11327.63225740868</v>
      </c>
      <c r="C6" s="14" t="n">
        <v>13019.14563526572</v>
      </c>
      <c r="D6" s="14" t="n">
        <v>14824.95045757255</v>
      </c>
      <c r="E6" s="14" t="n">
        <v>16757.03533738335</v>
      </c>
      <c r="F6" s="14" t="n">
        <v>18829.12636790505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24" t="inlineStr">
        <is>
          <t>index</t>
        </is>
      </c>
      <c r="B1" s="25" t="inlineStr">
        <is>
          <t>환율 -10%</t>
        </is>
      </c>
      <c r="C1" s="25" t="inlineStr">
        <is>
          <t>환율 -5%</t>
        </is>
      </c>
      <c r="D1" s="25" t="inlineStr">
        <is>
          <t>환율 +0%</t>
        </is>
      </c>
      <c r="E1" s="25" t="inlineStr">
        <is>
          <t>환율 +5%</t>
        </is>
      </c>
      <c r="F1" s="25" t="inlineStr">
        <is>
          <t>환율 +10%</t>
        </is>
      </c>
    </row>
    <row r="2">
      <c r="A2" t="inlineStr">
        <is>
          <t>유가 -30%</t>
        </is>
      </c>
      <c r="B2" s="14" t="n">
        <v>93773.52061377498</v>
      </c>
      <c r="C2" s="14" t="n">
        <v>81902.64301997662</v>
      </c>
      <c r="D2" s="14" t="n">
        <v>70031.76542617832</v>
      </c>
      <c r="E2" s="14" t="n">
        <v>58160.88783238004</v>
      </c>
      <c r="F2" s="14" t="n">
        <v>46290.01023858162</v>
      </c>
    </row>
    <row r="3">
      <c r="A3" t="inlineStr">
        <is>
          <t>유가 -15%</t>
        </is>
      </c>
      <c r="B3" s="14" t="n">
        <v>73674.82495405276</v>
      </c>
      <c r="C3" s="14" t="n">
        <v>60687.35315693651</v>
      </c>
      <c r="D3" s="14" t="n">
        <v>47699.8813598202</v>
      </c>
      <c r="E3" s="14" t="n">
        <v>34712.40956270398</v>
      </c>
      <c r="F3" s="14" t="n">
        <v>21724.93776558769</v>
      </c>
    </row>
    <row r="4">
      <c r="A4" t="inlineStr">
        <is>
          <t>유가 +0%</t>
        </is>
      </c>
      <c r="B4" s="14" t="n">
        <v>53576.12929433053</v>
      </c>
      <c r="C4" s="14" t="n">
        <v>39472.06329389635</v>
      </c>
      <c r="D4" s="14" t="n">
        <v>25367.9972934622</v>
      </c>
      <c r="E4" s="14" t="n">
        <v>11263.93129302805</v>
      </c>
      <c r="F4" s="14" t="n">
        <v>-2840.134707406078</v>
      </c>
    </row>
    <row r="5">
      <c r="A5" t="inlineStr">
        <is>
          <t>유가 +15%</t>
        </is>
      </c>
      <c r="B5" s="14" t="n">
        <v>33477.43363460839</v>
      </c>
      <c r="C5" s="14" t="n">
        <v>18256.77343085625</v>
      </c>
      <c r="D5" s="14" t="n">
        <v>3036.113227104134</v>
      </c>
      <c r="E5" s="14" t="n">
        <v>-12184.54697664784</v>
      </c>
      <c r="F5" s="14" t="n">
        <v>-27405.20718039997</v>
      </c>
    </row>
    <row r="6">
      <c r="A6" t="inlineStr">
        <is>
          <t>유가 +30%</t>
        </is>
      </c>
      <c r="B6" s="14" t="n">
        <v>13378.73797488605</v>
      </c>
      <c r="C6" s="14" t="n">
        <v>-2958.516432183975</v>
      </c>
      <c r="D6" s="14" t="n">
        <v>-19295.77083925386</v>
      </c>
      <c r="E6" s="14" t="n">
        <v>-35633.02524632378</v>
      </c>
      <c r="F6" s="14" t="n">
        <v>-51970.2796533938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36" customWidth="1" min="4" max="4"/>
    <col width="22" customWidth="1" min="5" max="5"/>
    <col width="22" customWidth="1" min="6" max="6"/>
    <col width="22" customWidth="1" min="7" max="7"/>
    <col width="24" customWidth="1" min="8" max="8"/>
    <col width="24" customWidth="1" min="9" max="9"/>
  </cols>
  <sheetData>
    <row r="1">
      <c r="A1" s="24" t="inlineStr">
        <is>
          <t>헤지비율</t>
        </is>
      </c>
      <c r="B1" s="25" t="inlineStr">
        <is>
          <t>2026 EBITDA 평균(억원)</t>
        </is>
      </c>
      <c r="C1" s="25" t="inlineStr">
        <is>
          <t>2026 EBITDA 표준편차(억원)</t>
        </is>
      </c>
      <c r="D1" s="25" t="inlineStr">
        <is>
          <t>2026 EBITDA 적자 확률</t>
        </is>
      </c>
      <c r="E1" s="25" t="inlineStr">
        <is>
          <t>주주가치 음수 확률</t>
        </is>
      </c>
      <c r="F1" s="25" t="inlineStr">
        <is>
          <t>주당가치 평균(원)</t>
        </is>
      </c>
      <c r="G1" s="25" t="inlineStr">
        <is>
          <t>주당가치 P5(원)</t>
        </is>
      </c>
      <c r="H1" s="25" t="inlineStr">
        <is>
          <t>주당가치 P50(원)</t>
        </is>
      </c>
      <c r="I1" s="25" t="inlineStr">
        <is>
          <t>주당가치 P95(원)</t>
        </is>
      </c>
    </row>
    <row r="2">
      <c r="A2" t="inlineStr">
        <is>
          <t>0%</t>
        </is>
      </c>
      <c r="B2" s="20" t="n">
        <v>56604.13545082045</v>
      </c>
      <c r="C2" s="20" t="n">
        <v>19290.69621770648</v>
      </c>
      <c r="D2" s="20" t="n">
        <v>0.0148</v>
      </c>
      <c r="E2" s="20" t="n">
        <v>0.2798</v>
      </c>
      <c r="F2" s="20" t="n">
        <v>17698.21735012726</v>
      </c>
      <c r="G2" s="20" t="n">
        <v>-230892.6734273678</v>
      </c>
      <c r="H2" s="20" t="n">
        <v>54599.53774732679</v>
      </c>
      <c r="I2" s="20" t="n">
        <v>135181.3123200588</v>
      </c>
    </row>
    <row r="3">
      <c r="A3" t="inlineStr">
        <is>
          <t>25%</t>
        </is>
      </c>
      <c r="B3" s="20" t="n">
        <v>56599.80724727189</v>
      </c>
      <c r="C3" s="20" t="n">
        <v>14971.28376368536</v>
      </c>
      <c r="D3" s="20" t="n">
        <v>0.0056</v>
      </c>
      <c r="E3" s="20" t="n">
        <v>0.2764</v>
      </c>
      <c r="F3" s="20" t="n">
        <v>17774.27329475762</v>
      </c>
      <c r="G3" s="20" t="n">
        <v>-229773.2852887917</v>
      </c>
      <c r="H3" s="20" t="n">
        <v>54621.42506539929</v>
      </c>
      <c r="I3" s="20" t="n">
        <v>133938.7551344922</v>
      </c>
    </row>
    <row r="4">
      <c r="A4" t="inlineStr">
        <is>
          <t>50%</t>
        </is>
      </c>
      <c r="B4" s="20" t="n">
        <v>56595.47904372337</v>
      </c>
      <c r="C4" s="20" t="n">
        <v>10993.27122828938</v>
      </c>
      <c r="D4" s="20" t="n">
        <v>0.0004</v>
      </c>
      <c r="E4" s="20" t="n">
        <v>0.275</v>
      </c>
      <c r="F4" s="20" t="n">
        <v>17820.33645207124</v>
      </c>
      <c r="G4" s="20" t="n">
        <v>-228161.979569602</v>
      </c>
      <c r="H4" s="20" t="n">
        <v>54300.23818776359</v>
      </c>
      <c r="I4" s="20" t="n">
        <v>132924.9602123474</v>
      </c>
    </row>
    <row r="5">
      <c r="A5" t="inlineStr">
        <is>
          <t>75%</t>
        </is>
      </c>
      <c r="B5" s="20" t="n">
        <v>56591.15084017482</v>
      </c>
      <c r="C5" s="20" t="n">
        <v>7891.069944036331</v>
      </c>
      <c r="D5" s="20" t="n">
        <v>0</v>
      </c>
      <c r="E5" s="20" t="n">
        <v>0.274</v>
      </c>
      <c r="F5" s="20" t="n">
        <v>17834.51285073023</v>
      </c>
      <c r="G5" s="20" t="n">
        <v>-225554.1124098116</v>
      </c>
      <c r="H5" s="20" t="n">
        <v>54233.9002120279</v>
      </c>
      <c r="I5" s="20" t="n">
        <v>132013.4288144633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22" customWidth="1" min="5" max="5"/>
    <col width="22" customWidth="1" min="6" max="6"/>
  </cols>
  <sheetData>
    <row r="1">
      <c r="A1" s="24" t="inlineStr">
        <is>
          <t>year</t>
        </is>
      </c>
      <c r="B1" s="25" t="inlineStr">
        <is>
          <t>line</t>
        </is>
      </c>
      <c r="C1" s="25" t="inlineStr">
        <is>
          <t>sj_div</t>
        </is>
      </c>
      <c r="D1" s="25" t="inlineStr">
        <is>
          <t>account_id</t>
        </is>
      </c>
      <c r="E1" s="25" t="inlineStr">
        <is>
          <t>account_nm</t>
        </is>
      </c>
      <c r="F1" s="25" t="inlineStr">
        <is>
          <t>amount_eok</t>
        </is>
      </c>
    </row>
    <row r="2">
      <c r="A2" t="n">
        <v>2021</v>
      </c>
      <c r="B2" s="2" t="inlineStr">
        <is>
          <t>revenue</t>
        </is>
      </c>
      <c r="C2" s="2" t="inlineStr">
        <is>
          <t>CIS</t>
        </is>
      </c>
      <c r="D2" s="2" t="inlineStr">
        <is>
          <t>ifrs-full_Revenue</t>
        </is>
      </c>
      <c r="E2" s="2" t="inlineStr">
        <is>
          <t>매출</t>
        </is>
      </c>
      <c r="F2" s="26" t="n">
        <v>90168.2</v>
      </c>
    </row>
    <row r="3">
      <c r="A3" t="n">
        <v>2021</v>
      </c>
      <c r="B3" s="2" t="inlineStr">
        <is>
          <t>operating_income</t>
        </is>
      </c>
      <c r="C3" s="2" t="inlineStr">
        <is>
          <t>CIS</t>
        </is>
      </c>
      <c r="D3" s="2" t="inlineStr">
        <is>
          <t>dart_OperatingIncomeLoss</t>
        </is>
      </c>
      <c r="E3" s="2" t="inlineStr">
        <is>
          <t>영업이익(손실)</t>
        </is>
      </c>
      <c r="F3" s="26" t="n">
        <v>14179.7</v>
      </c>
    </row>
    <row r="4">
      <c r="A4" t="n">
        <v>2021</v>
      </c>
      <c r="B4" s="2" t="inlineStr">
        <is>
          <t>depreciation</t>
        </is>
      </c>
      <c r="C4" s="2" t="inlineStr">
        <is>
          <t>CF</t>
        </is>
      </c>
      <c r="D4" s="2" t="inlineStr">
        <is>
          <t>dart_AdjustmentsForDepreciationExpense</t>
        </is>
      </c>
      <c r="E4" s="2" t="inlineStr">
        <is>
          <t>감가상각비</t>
        </is>
      </c>
      <c r="F4" s="26" t="n">
        <v>16629.8</v>
      </c>
    </row>
    <row r="5">
      <c r="A5" t="n">
        <v>2021</v>
      </c>
      <c r="B5" s="2" t="inlineStr">
        <is>
          <t>depreciation</t>
        </is>
      </c>
      <c r="C5" s="2" t="inlineStr">
        <is>
          <t>CF</t>
        </is>
      </c>
      <c r="D5" s="2" t="inlineStr">
        <is>
          <t>dart_AdjustmentsForAmortisationExpense</t>
        </is>
      </c>
      <c r="E5" s="2" t="inlineStr">
        <is>
          <t>무형자산상각비</t>
        </is>
      </c>
      <c r="F5" s="26" t="n">
        <v>323.8</v>
      </c>
    </row>
    <row r="6">
      <c r="A6" t="n">
        <v>2021</v>
      </c>
      <c r="B6" s="2" t="inlineStr">
        <is>
          <t>capex</t>
        </is>
      </c>
      <c r="C6" s="2" t="inlineStr">
        <is>
          <t>CF</t>
        </is>
      </c>
      <c r="D6" s="2" t="inlineStr">
        <is>
          <t>ifrs-full_PurchaseOfIntangibleAssetsClassifiedAsInvestingActivities</t>
        </is>
      </c>
      <c r="E6" s="2" t="inlineStr">
        <is>
          <t>무형자산의 취득</t>
        </is>
      </c>
      <c r="F6" s="26" t="n">
        <v>52.5</v>
      </c>
    </row>
    <row r="7">
      <c r="A7" t="n">
        <v>2021</v>
      </c>
      <c r="B7" s="2" t="inlineStr">
        <is>
          <t>capex</t>
        </is>
      </c>
      <c r="C7" s="2" t="inlineStr">
        <is>
          <t>CF</t>
        </is>
      </c>
      <c r="D7" s="2" t="inlineStr">
        <is>
          <t>-표준계정코드 미사용-</t>
        </is>
      </c>
      <c r="E7" s="2" t="inlineStr">
        <is>
          <t>유형자산 및 투자부동산의 취득</t>
        </is>
      </c>
      <c r="F7" s="26" t="n">
        <v>3429.6</v>
      </c>
    </row>
    <row r="8">
      <c r="A8" t="n">
        <v>2021</v>
      </c>
      <c r="B8" s="2" t="inlineStr">
        <is>
          <t>cash</t>
        </is>
      </c>
      <c r="C8" s="2" t="inlineStr">
        <is>
          <t>BS</t>
        </is>
      </c>
      <c r="D8" s="2" t="inlineStr">
        <is>
          <t>ifrs-full_CashAndCashEquivalents</t>
        </is>
      </c>
      <c r="E8" s="2" t="inlineStr">
        <is>
          <t>현금및현금성자산</t>
        </is>
      </c>
      <c r="F8" s="26" t="n">
        <v>11853.8</v>
      </c>
    </row>
    <row r="9">
      <c r="A9" t="n">
        <v>2021</v>
      </c>
      <c r="B9" s="2" t="inlineStr">
        <is>
          <t>current_assets</t>
        </is>
      </c>
      <c r="C9" s="2" t="inlineStr">
        <is>
          <t>BS</t>
        </is>
      </c>
      <c r="D9" s="2" t="inlineStr">
        <is>
          <t>ifrs-full_CurrentAssets</t>
        </is>
      </c>
      <c r="E9" s="2" t="inlineStr">
        <is>
          <t>유동자산</t>
        </is>
      </c>
      <c r="F9" s="26" t="n">
        <v>66410</v>
      </c>
    </row>
    <row r="10">
      <c r="A10" t="n">
        <v>2021</v>
      </c>
      <c r="B10" s="2" t="inlineStr">
        <is>
          <t>current_liabilities</t>
        </is>
      </c>
      <c r="C10" s="2" t="inlineStr">
        <is>
          <t>BS</t>
        </is>
      </c>
      <c r="D10" s="2" t="inlineStr">
        <is>
          <t>ifrs-full_CurrentLiabilities</t>
        </is>
      </c>
      <c r="E10" s="2" t="inlineStr">
        <is>
          <t>유동부채</t>
        </is>
      </c>
      <c r="F10" s="26" t="n">
        <v>84449.3</v>
      </c>
    </row>
    <row r="11">
      <c r="A11" t="n">
        <v>2021</v>
      </c>
      <c r="B11" s="2" t="inlineStr">
        <is>
          <t>debt</t>
        </is>
      </c>
      <c r="C11" s="2" t="inlineStr">
        <is>
          <t>BS</t>
        </is>
      </c>
      <c r="D11" s="2" t="inlineStr">
        <is>
          <t>ifrs-full_ShorttermBorrowings</t>
        </is>
      </c>
      <c r="E11" s="2" t="inlineStr">
        <is>
          <t>단기차입금</t>
        </is>
      </c>
      <c r="F11" s="26" t="n">
        <v>9855.700000000001</v>
      </c>
    </row>
    <row r="12">
      <c r="A12" t="n">
        <v>2021</v>
      </c>
      <c r="B12" s="2" t="inlineStr">
        <is>
          <t>debt</t>
        </is>
      </c>
      <c r="C12" s="2" t="inlineStr">
        <is>
          <t>BS</t>
        </is>
      </c>
      <c r="D12" s="2" t="inlineStr">
        <is>
          <t>ifrs-full_CurrentPortionOfLongtermBorrowings</t>
        </is>
      </c>
      <c r="E12" s="2" t="inlineStr">
        <is>
          <t>유동성장기부채</t>
        </is>
      </c>
      <c r="F12" s="26" t="n">
        <v>29890.3</v>
      </c>
    </row>
    <row r="13">
      <c r="A13" t="n">
        <v>2021</v>
      </c>
      <c r="B13" s="2" t="inlineStr">
        <is>
          <t>debt</t>
        </is>
      </c>
      <c r="C13" s="2" t="inlineStr">
        <is>
          <t>BS</t>
        </is>
      </c>
      <c r="D13" s="2" t="inlineStr">
        <is>
          <t>dart_LongTermBorrowingsGross</t>
        </is>
      </c>
      <c r="E13" s="2" t="inlineStr">
        <is>
          <t>장기차입금</t>
        </is>
      </c>
      <c r="F13" s="26" t="n">
        <v>9192</v>
      </c>
    </row>
    <row r="14">
      <c r="A14" t="n">
        <v>2021</v>
      </c>
      <c r="B14" s="2" t="inlineStr">
        <is>
          <t>debt</t>
        </is>
      </c>
      <c r="C14" s="2" t="inlineStr">
        <is>
          <t>BS</t>
        </is>
      </c>
      <c r="D14" s="2" t="inlineStr">
        <is>
          <t>dart_BondsIssued</t>
        </is>
      </c>
      <c r="E14" s="2" t="inlineStr">
        <is>
          <t>사채</t>
        </is>
      </c>
      <c r="F14" s="26" t="n">
        <v>10582.3</v>
      </c>
    </row>
    <row r="15">
      <c r="A15" t="n">
        <v>2021</v>
      </c>
      <c r="B15" s="2" t="inlineStr">
        <is>
          <t>debt</t>
        </is>
      </c>
      <c r="C15" s="2" t="inlineStr">
        <is>
          <t>BS</t>
        </is>
      </c>
      <c r="D15" s="2" t="inlineStr">
        <is>
          <t>-표준계정코드 미사용-</t>
        </is>
      </c>
      <c r="E15" s="2" t="inlineStr">
        <is>
          <t>자산유동화차입금</t>
        </is>
      </c>
      <c r="F15" s="26" t="n">
        <v>9538.200000000001</v>
      </c>
    </row>
    <row r="16">
      <c r="A16" t="n">
        <v>2021</v>
      </c>
      <c r="B16" s="2" t="inlineStr">
        <is>
          <t>current_debt</t>
        </is>
      </c>
      <c r="C16" s="2" t="inlineStr">
        <is>
          <t>BS</t>
        </is>
      </c>
      <c r="D16" s="2" t="inlineStr">
        <is>
          <t>ifrs-full_ShorttermBorrowings</t>
        </is>
      </c>
      <c r="E16" s="2" t="inlineStr">
        <is>
          <t>단기차입금</t>
        </is>
      </c>
      <c r="F16" s="26" t="n">
        <v>9855.700000000001</v>
      </c>
    </row>
    <row r="17">
      <c r="A17" t="n">
        <v>2021</v>
      </c>
      <c r="B17" s="2" t="inlineStr">
        <is>
          <t>current_debt</t>
        </is>
      </c>
      <c r="C17" s="2" t="inlineStr">
        <is>
          <t>BS</t>
        </is>
      </c>
      <c r="D17" s="2" t="inlineStr">
        <is>
          <t>ifrs-full_CurrentPortionOfLongtermBorrowings</t>
        </is>
      </c>
      <c r="E17" s="2" t="inlineStr">
        <is>
          <t>유동성장기부채</t>
        </is>
      </c>
      <c r="F17" s="26" t="n">
        <v>29890.3</v>
      </c>
    </row>
    <row r="18">
      <c r="A18" t="n">
        <v>2021</v>
      </c>
      <c r="B18" s="2" t="inlineStr">
        <is>
          <t>lease_liabilities</t>
        </is>
      </c>
      <c r="C18" s="2" t="inlineStr">
        <is>
          <t>BS</t>
        </is>
      </c>
      <c r="D18" s="2" t="inlineStr">
        <is>
          <t>dart_CurentPortionOfFinanceLeaseLiabilities</t>
        </is>
      </c>
      <c r="E18" s="2" t="inlineStr">
        <is>
          <t>유동성리스부채</t>
        </is>
      </c>
      <c r="F18" s="26" t="n">
        <v>13829.3</v>
      </c>
    </row>
    <row r="19">
      <c r="A19" t="n">
        <v>2021</v>
      </c>
      <c r="B19" s="2" t="inlineStr">
        <is>
          <t>lease_liabilities</t>
        </is>
      </c>
      <c r="C19" s="2" t="inlineStr">
        <is>
          <t>BS</t>
        </is>
      </c>
      <c r="D19" s="2" t="inlineStr">
        <is>
          <t>dart_NonCurrentFinanceLeaseLiabilities</t>
        </is>
      </c>
      <c r="E19" s="2" t="inlineStr">
        <is>
          <t>리스부채</t>
        </is>
      </c>
      <c r="F19" s="26" t="n">
        <v>42180.9</v>
      </c>
    </row>
    <row r="20">
      <c r="A20" t="n">
        <v>2021</v>
      </c>
      <c r="B20" s="2" t="inlineStr">
        <is>
          <t>current_lease</t>
        </is>
      </c>
      <c r="C20" s="2" t="inlineStr">
        <is>
          <t>BS</t>
        </is>
      </c>
      <c r="D20" s="2" t="inlineStr">
        <is>
          <t>dart_CurentPortionOfFinanceLeaseLiabilities</t>
        </is>
      </c>
      <c r="E20" s="2" t="inlineStr">
        <is>
          <t>유동성리스부채</t>
        </is>
      </c>
      <c r="F20" s="26" t="n">
        <v>13829.3</v>
      </c>
    </row>
    <row r="21">
      <c r="A21" t="n">
        <v>2021</v>
      </c>
      <c r="B21" s="2" t="inlineStr">
        <is>
          <t>equity_parent</t>
        </is>
      </c>
      <c r="C21" s="2" t="inlineStr">
        <is>
          <t>BS</t>
        </is>
      </c>
      <c r="D21" s="2" t="inlineStr">
        <is>
          <t>ifrs-full_EquityAttributableToOwnersOfParent</t>
        </is>
      </c>
      <c r="E21" s="2" t="inlineStr">
        <is>
          <t>지배기업의 소유주에게 귀속되는 자본</t>
        </is>
      </c>
      <c r="F21" s="26" t="n">
        <v>67539</v>
      </c>
    </row>
    <row r="22">
      <c r="A22" t="n">
        <v>2021</v>
      </c>
      <c r="B22" s="2" t="inlineStr">
        <is>
          <t>nci</t>
        </is>
      </c>
      <c r="C22" s="2" t="inlineStr">
        <is>
          <t>BS</t>
        </is>
      </c>
      <c r="D22" s="2" t="inlineStr">
        <is>
          <t>ifrs-full_NoncontrollingInterests</t>
        </is>
      </c>
      <c r="E22" s="2" t="inlineStr">
        <is>
          <t>비지배지분</t>
        </is>
      </c>
      <c r="F22" s="26" t="n">
        <v>1117.9</v>
      </c>
    </row>
    <row r="23">
      <c r="A23" t="n">
        <v>2022</v>
      </c>
      <c r="B23" s="2" t="inlineStr">
        <is>
          <t>revenue</t>
        </is>
      </c>
      <c r="C23" s="2" t="inlineStr">
        <is>
          <t>CIS</t>
        </is>
      </c>
      <c r="D23" s="2" t="inlineStr">
        <is>
          <t>ifrs-full_Revenue</t>
        </is>
      </c>
      <c r="E23" s="2" t="inlineStr">
        <is>
          <t>매출</t>
        </is>
      </c>
      <c r="F23" s="26" t="n">
        <v>140960.9</v>
      </c>
    </row>
    <row r="24">
      <c r="A24" t="n">
        <v>2022</v>
      </c>
      <c r="B24" s="2" t="inlineStr">
        <is>
          <t>operating_income</t>
        </is>
      </c>
      <c r="C24" s="2" t="inlineStr">
        <is>
          <t>CIS</t>
        </is>
      </c>
      <c r="D24" s="2" t="inlineStr">
        <is>
          <t>dart_OperatingIncomeLoss</t>
        </is>
      </c>
      <c r="E24" s="2" t="inlineStr">
        <is>
          <t>영업이익(손실)</t>
        </is>
      </c>
      <c r="F24" s="26" t="n">
        <v>28305.9</v>
      </c>
    </row>
    <row r="25">
      <c r="A25" t="n">
        <v>2022</v>
      </c>
      <c r="B25" s="2" t="inlineStr">
        <is>
          <t>depreciation</t>
        </is>
      </c>
      <c r="C25" s="2" t="inlineStr">
        <is>
          <t>CF</t>
        </is>
      </c>
      <c r="D25" s="2" t="inlineStr">
        <is>
          <t>dart_AdjustmentsForDepreciationExpense</t>
        </is>
      </c>
      <c r="E25" s="2" t="inlineStr">
        <is>
          <t>감가상각비</t>
        </is>
      </c>
      <c r="F25" s="26" t="n">
        <v>16057.7</v>
      </c>
    </row>
    <row r="26">
      <c r="A26" t="n">
        <v>2022</v>
      </c>
      <c r="B26" s="2" t="inlineStr">
        <is>
          <t>depreciation</t>
        </is>
      </c>
      <c r="C26" s="2" t="inlineStr">
        <is>
          <t>CF</t>
        </is>
      </c>
      <c r="D26" s="2" t="inlineStr">
        <is>
          <t>dart_AdjustmentsForAmortisationExpense</t>
        </is>
      </c>
      <c r="E26" s="2" t="inlineStr">
        <is>
          <t>무형자산상각비</t>
        </is>
      </c>
      <c r="F26" s="26" t="n">
        <v>439.6</v>
      </c>
    </row>
    <row r="27">
      <c r="A27" t="n">
        <v>2022</v>
      </c>
      <c r="B27" s="2" t="inlineStr">
        <is>
          <t>capex</t>
        </is>
      </c>
      <c r="C27" s="2" t="inlineStr">
        <is>
          <t>CF</t>
        </is>
      </c>
      <c r="D27" s="2" t="inlineStr">
        <is>
          <t>ifrs-full_PurchaseOfIntangibleAssetsClassifiedAsInvestingActivities</t>
        </is>
      </c>
      <c r="E27" s="2" t="inlineStr">
        <is>
          <t>무형자산의 취득</t>
        </is>
      </c>
      <c r="F27" s="26" t="n">
        <v>22.9</v>
      </c>
    </row>
    <row r="28">
      <c r="A28" t="n">
        <v>2022</v>
      </c>
      <c r="B28" s="2" t="inlineStr">
        <is>
          <t>capex</t>
        </is>
      </c>
      <c r="C28" s="2" t="inlineStr">
        <is>
          <t>CF</t>
        </is>
      </c>
      <c r="D28" s="2" t="inlineStr">
        <is>
          <t>-표준계정코드 미사용-</t>
        </is>
      </c>
      <c r="E28" s="2" t="inlineStr">
        <is>
          <t>유형자산 및 투자부동산의 취득</t>
        </is>
      </c>
      <c r="F28" s="26" t="n">
        <v>7617.6</v>
      </c>
    </row>
    <row r="29">
      <c r="A29" t="n">
        <v>2022</v>
      </c>
      <c r="B29" s="2" t="inlineStr">
        <is>
          <t>cash</t>
        </is>
      </c>
      <c r="C29" s="2" t="inlineStr">
        <is>
          <t>BS</t>
        </is>
      </c>
      <c r="D29" s="2" t="inlineStr">
        <is>
          <t>ifrs-full_CashAndCashEquivalents</t>
        </is>
      </c>
      <c r="E29" s="2" t="inlineStr">
        <is>
          <t>현금및현금성자산</t>
        </is>
      </c>
      <c r="F29" s="26" t="n">
        <v>10569</v>
      </c>
    </row>
    <row r="30">
      <c r="A30" t="n">
        <v>2022</v>
      </c>
      <c r="B30" s="2" t="inlineStr">
        <is>
          <t>current_assets</t>
        </is>
      </c>
      <c r="C30" s="2" t="inlineStr">
        <is>
          <t>BS</t>
        </is>
      </c>
      <c r="D30" s="2" t="inlineStr">
        <is>
          <t>ifrs-full_CurrentAssets</t>
        </is>
      </c>
      <c r="E30" s="2" t="inlineStr">
        <is>
          <t>유동자산</t>
        </is>
      </c>
      <c r="F30" s="26" t="n">
        <v>80909.39999999999</v>
      </c>
    </row>
    <row r="31">
      <c r="A31" t="n">
        <v>2022</v>
      </c>
      <c r="B31" s="2" t="inlineStr">
        <is>
          <t>current_liabilities</t>
        </is>
      </c>
      <c r="C31" s="2" t="inlineStr">
        <is>
          <t>BS</t>
        </is>
      </c>
      <c r="D31" s="2" t="inlineStr">
        <is>
          <t>ifrs-full_CurrentLiabilities</t>
        </is>
      </c>
      <c r="E31" s="2" t="inlineStr">
        <is>
          <t>유동부채</t>
        </is>
      </c>
      <c r="F31" s="26" t="n">
        <v>84751.8</v>
      </c>
    </row>
    <row r="32">
      <c r="A32" t="n">
        <v>2022</v>
      </c>
      <c r="B32" s="2" t="inlineStr">
        <is>
          <t>debt</t>
        </is>
      </c>
      <c r="C32" s="2" t="inlineStr">
        <is>
          <t>BS</t>
        </is>
      </c>
      <c r="D32" s="2" t="inlineStr">
        <is>
          <t>ifrs-full_ShorttermBorrowings</t>
        </is>
      </c>
      <c r="E32" s="2" t="inlineStr">
        <is>
          <t>단기차입금</t>
        </is>
      </c>
      <c r="F32" s="26" t="n">
        <v>9060.5</v>
      </c>
    </row>
    <row r="33">
      <c r="A33" t="n">
        <v>2022</v>
      </c>
      <c r="B33" s="2" t="inlineStr">
        <is>
          <t>debt</t>
        </is>
      </c>
      <c r="C33" s="2" t="inlineStr">
        <is>
          <t>BS</t>
        </is>
      </c>
      <c r="D33" s="2" t="inlineStr">
        <is>
          <t>ifrs-full_CurrentPortionOfLongtermBorrowings</t>
        </is>
      </c>
      <c r="E33" s="2" t="inlineStr">
        <is>
          <t>유동성장기부채</t>
        </is>
      </c>
      <c r="F33" s="26" t="n">
        <v>14170.7</v>
      </c>
    </row>
    <row r="34">
      <c r="A34" t="n">
        <v>2022</v>
      </c>
      <c r="B34" s="2" t="inlineStr">
        <is>
          <t>debt</t>
        </is>
      </c>
      <c r="C34" s="2" t="inlineStr">
        <is>
          <t>BS</t>
        </is>
      </c>
      <c r="D34" s="2" t="inlineStr">
        <is>
          <t>dart_LongTermBorrowingsGross</t>
        </is>
      </c>
      <c r="E34" s="2" t="inlineStr">
        <is>
          <t>장기차입금</t>
        </is>
      </c>
      <c r="F34" s="26" t="n">
        <v>16238.5</v>
      </c>
    </row>
    <row r="35">
      <c r="A35" t="n">
        <v>2022</v>
      </c>
      <c r="B35" s="2" t="inlineStr">
        <is>
          <t>debt</t>
        </is>
      </c>
      <c r="C35" s="2" t="inlineStr">
        <is>
          <t>BS</t>
        </is>
      </c>
      <c r="D35" s="2" t="inlineStr">
        <is>
          <t>dart_BondsIssued</t>
        </is>
      </c>
      <c r="E35" s="2" t="inlineStr">
        <is>
          <t>사채</t>
        </is>
      </c>
      <c r="F35" s="26" t="n">
        <v>18305.3</v>
      </c>
    </row>
    <row r="36">
      <c r="A36" t="n">
        <v>2022</v>
      </c>
      <c r="B36" s="2" t="inlineStr">
        <is>
          <t>debt</t>
        </is>
      </c>
      <c r="C36" s="2" t="inlineStr">
        <is>
          <t>BS</t>
        </is>
      </c>
      <c r="D36" s="2" t="inlineStr">
        <is>
          <t>-표준계정코드 미사용-</t>
        </is>
      </c>
      <c r="E36" s="2" t="inlineStr">
        <is>
          <t>자산유동화차입금</t>
        </is>
      </c>
      <c r="F36" s="26" t="n">
        <v>5102.8</v>
      </c>
    </row>
    <row r="37">
      <c r="A37" t="n">
        <v>2022</v>
      </c>
      <c r="B37" s="2" t="inlineStr">
        <is>
          <t>current_debt</t>
        </is>
      </c>
      <c r="C37" s="2" t="inlineStr">
        <is>
          <t>BS</t>
        </is>
      </c>
      <c r="D37" s="2" t="inlineStr">
        <is>
          <t>ifrs-full_ShorttermBorrowings</t>
        </is>
      </c>
      <c r="E37" s="2" t="inlineStr">
        <is>
          <t>단기차입금</t>
        </is>
      </c>
      <c r="F37" s="26" t="n">
        <v>9060.5</v>
      </c>
    </row>
    <row r="38">
      <c r="A38" t="n">
        <v>2022</v>
      </c>
      <c r="B38" s="2" t="inlineStr">
        <is>
          <t>current_debt</t>
        </is>
      </c>
      <c r="C38" s="2" t="inlineStr">
        <is>
          <t>BS</t>
        </is>
      </c>
      <c r="D38" s="2" t="inlineStr">
        <is>
          <t>ifrs-full_CurrentPortionOfLongtermBorrowings</t>
        </is>
      </c>
      <c r="E38" s="2" t="inlineStr">
        <is>
          <t>유동성장기부채</t>
        </is>
      </c>
      <c r="F38" s="26" t="n">
        <v>14170.7</v>
      </c>
    </row>
    <row r="39">
      <c r="A39" t="n">
        <v>2022</v>
      </c>
      <c r="B39" s="2" t="inlineStr">
        <is>
          <t>lease_liabilities</t>
        </is>
      </c>
      <c r="C39" s="2" t="inlineStr">
        <is>
          <t>BS</t>
        </is>
      </c>
      <c r="D39" s="2" t="inlineStr">
        <is>
          <t>dart_CurentPortionOfFinanceLeaseLiabilities</t>
        </is>
      </c>
      <c r="E39" s="2" t="inlineStr">
        <is>
          <t>유동성리스부채</t>
        </is>
      </c>
      <c r="F39" s="26" t="n">
        <v>13331.5</v>
      </c>
    </row>
    <row r="40">
      <c r="A40" t="n">
        <v>2022</v>
      </c>
      <c r="B40" s="2" t="inlineStr">
        <is>
          <t>lease_liabilities</t>
        </is>
      </c>
      <c r="C40" s="2" t="inlineStr">
        <is>
          <t>BS</t>
        </is>
      </c>
      <c r="D40" s="2" t="inlineStr">
        <is>
          <t>dart_NonCurrentFinanceLeaseLiabilities</t>
        </is>
      </c>
      <c r="E40" s="2" t="inlineStr">
        <is>
          <t>리스부채</t>
        </is>
      </c>
      <c r="F40" s="26" t="n">
        <v>35163.7</v>
      </c>
    </row>
    <row r="41">
      <c r="A41" t="n">
        <v>2022</v>
      </c>
      <c r="B41" s="2" t="inlineStr">
        <is>
          <t>current_lease</t>
        </is>
      </c>
      <c r="C41" s="2" t="inlineStr">
        <is>
          <t>BS</t>
        </is>
      </c>
      <c r="D41" s="2" t="inlineStr">
        <is>
          <t>dart_CurentPortionOfFinanceLeaseLiabilities</t>
        </is>
      </c>
      <c r="E41" s="2" t="inlineStr">
        <is>
          <t>유동성리스부채</t>
        </is>
      </c>
      <c r="F41" s="26" t="n">
        <v>13331.5</v>
      </c>
    </row>
    <row r="42">
      <c r="A42" t="n">
        <v>2022</v>
      </c>
      <c r="B42" s="2" t="inlineStr">
        <is>
          <t>equity_parent</t>
        </is>
      </c>
      <c r="C42" s="2" t="inlineStr">
        <is>
          <t>BS</t>
        </is>
      </c>
      <c r="D42" s="2" t="inlineStr">
        <is>
          <t>ifrs-full_EquityAttributableToOwnersOfParent</t>
        </is>
      </c>
      <c r="E42" s="2" t="inlineStr">
        <is>
          <t>지배기업의 소유주에게 귀속되는 자본</t>
        </is>
      </c>
      <c r="F42" s="26" t="n">
        <v>89941.89999999999</v>
      </c>
    </row>
    <row r="43">
      <c r="A43" t="n">
        <v>2022</v>
      </c>
      <c r="B43" s="2" t="inlineStr">
        <is>
          <t>nci</t>
        </is>
      </c>
      <c r="C43" s="2" t="inlineStr">
        <is>
          <t>BS</t>
        </is>
      </c>
      <c r="D43" s="2" t="inlineStr">
        <is>
          <t>ifrs-full_NoncontrollingInterests</t>
        </is>
      </c>
      <c r="E43" s="2" t="inlineStr">
        <is>
          <t>비지배지분</t>
        </is>
      </c>
      <c r="F43" s="26" t="n">
        <v>2982.7</v>
      </c>
    </row>
    <row r="44">
      <c r="A44" t="n">
        <v>2023</v>
      </c>
      <c r="B44" s="2" t="inlineStr">
        <is>
          <t>revenue</t>
        </is>
      </c>
      <c r="C44" s="2" t="inlineStr">
        <is>
          <t>CIS</t>
        </is>
      </c>
      <c r="D44" s="2" t="inlineStr">
        <is>
          <t>ifrs-full_Revenue</t>
        </is>
      </c>
      <c r="E44" s="2" t="inlineStr">
        <is>
          <t>매출</t>
        </is>
      </c>
      <c r="F44" s="26" t="n">
        <v>161118</v>
      </c>
    </row>
    <row r="45">
      <c r="A45" t="n">
        <v>2023</v>
      </c>
      <c r="B45" s="2" t="inlineStr">
        <is>
          <t>operating_income</t>
        </is>
      </c>
      <c r="C45" s="2" t="inlineStr">
        <is>
          <t>CIS</t>
        </is>
      </c>
      <c r="D45" s="2" t="inlineStr">
        <is>
          <t>dart_OperatingIncomeLoss</t>
        </is>
      </c>
      <c r="E45" s="2" t="inlineStr">
        <is>
          <t>영업이익(손실)</t>
        </is>
      </c>
      <c r="F45" s="26" t="n">
        <v>17900.9</v>
      </c>
    </row>
    <row r="46">
      <c r="A46" t="n">
        <v>2023</v>
      </c>
      <c r="B46" s="2" t="inlineStr">
        <is>
          <t>depreciation</t>
        </is>
      </c>
      <c r="C46" s="2" t="inlineStr">
        <is>
          <t>CF</t>
        </is>
      </c>
      <c r="D46" s="2" t="inlineStr">
        <is>
          <t>ifrs-full_AdjustmentsForAmortisationExpense</t>
        </is>
      </c>
      <c r="E46" s="2" t="inlineStr">
        <is>
          <t>무형자산상각비</t>
        </is>
      </c>
      <c r="F46" s="26" t="n">
        <v>570</v>
      </c>
    </row>
    <row r="47">
      <c r="A47" t="n">
        <v>2023</v>
      </c>
      <c r="B47" s="2" t="inlineStr">
        <is>
          <t>depreciation</t>
        </is>
      </c>
      <c r="C47" s="2" t="inlineStr">
        <is>
          <t>CF</t>
        </is>
      </c>
      <c r="D47" s="2" t="inlineStr">
        <is>
          <t>ifrs-full_AdjustmentsForDepreciationExpense</t>
        </is>
      </c>
      <c r="E47" s="2" t="inlineStr">
        <is>
          <t>감가상각비</t>
        </is>
      </c>
      <c r="F47" s="26" t="n">
        <v>16659</v>
      </c>
    </row>
    <row r="48">
      <c r="A48" t="n">
        <v>2023</v>
      </c>
      <c r="B48" s="2" t="inlineStr">
        <is>
          <t>capex</t>
        </is>
      </c>
      <c r="C48" s="2" t="inlineStr">
        <is>
          <t>CF</t>
        </is>
      </c>
      <c r="D48" s="2" t="inlineStr">
        <is>
          <t>ifrs-full_PurchaseOfIntangibleAssetsClassifiedAsInvestingActivities</t>
        </is>
      </c>
      <c r="E48" s="2" t="inlineStr">
        <is>
          <t>무형자산의 취득</t>
        </is>
      </c>
      <c r="F48" s="26" t="n">
        <v>87.2</v>
      </c>
    </row>
    <row r="49">
      <c r="A49" t="n">
        <v>2023</v>
      </c>
      <c r="B49" s="2" t="inlineStr">
        <is>
          <t>capex</t>
        </is>
      </c>
      <c r="C49" s="2" t="inlineStr">
        <is>
          <t>CF</t>
        </is>
      </c>
      <c r="D49" s="2" t="inlineStr">
        <is>
          <t>-표준계정코드 미사용-</t>
        </is>
      </c>
      <c r="E49" s="2" t="inlineStr">
        <is>
          <t>유형자산 및 투자부동산의 취득</t>
        </is>
      </c>
      <c r="F49" s="26" t="n">
        <v>19085.2</v>
      </c>
    </row>
    <row r="50">
      <c r="A50" t="n">
        <v>2023</v>
      </c>
      <c r="B50" s="2" t="inlineStr">
        <is>
          <t>cash</t>
        </is>
      </c>
      <c r="C50" s="2" t="inlineStr">
        <is>
          <t>BS</t>
        </is>
      </c>
      <c r="D50" s="2" t="inlineStr">
        <is>
          <t>ifrs-full_CashAndCashEquivalents</t>
        </is>
      </c>
      <c r="E50" s="2" t="inlineStr">
        <is>
          <t>현금및현금성자산</t>
        </is>
      </c>
      <c r="F50" s="26" t="n">
        <v>6227.9</v>
      </c>
    </row>
    <row r="51">
      <c r="A51" t="n">
        <v>2023</v>
      </c>
      <c r="B51" s="2" t="inlineStr">
        <is>
          <t>current_assets</t>
        </is>
      </c>
      <c r="C51" s="2" t="inlineStr">
        <is>
          <t>BS</t>
        </is>
      </c>
      <c r="D51" s="2" t="inlineStr">
        <is>
          <t>ifrs-full_CurrentAssets</t>
        </is>
      </c>
      <c r="E51" s="2" t="inlineStr">
        <is>
          <t>유동자산</t>
        </is>
      </c>
      <c r="F51" s="26" t="n">
        <v>85951.7</v>
      </c>
    </row>
    <row r="52">
      <c r="A52" t="n">
        <v>2023</v>
      </c>
      <c r="B52" s="2" t="inlineStr">
        <is>
          <t>current_liabilities</t>
        </is>
      </c>
      <c r="C52" s="2" t="inlineStr">
        <is>
          <t>BS</t>
        </is>
      </c>
      <c r="D52" s="2" t="inlineStr">
        <is>
          <t>ifrs-full_CurrentLiabilities</t>
        </is>
      </c>
      <c r="E52" s="2" t="inlineStr">
        <is>
          <t>유동부채</t>
        </is>
      </c>
      <c r="F52" s="26" t="n">
        <v>94098.60000000001</v>
      </c>
    </row>
    <row r="53">
      <c r="A53" t="n">
        <v>2023</v>
      </c>
      <c r="B53" s="2" t="inlineStr">
        <is>
          <t>debt</t>
        </is>
      </c>
      <c r="C53" s="2" t="inlineStr">
        <is>
          <t>BS</t>
        </is>
      </c>
      <c r="D53" s="2" t="inlineStr">
        <is>
          <t>-표준계정코드 미사용-</t>
        </is>
      </c>
      <c r="E53" s="2" t="inlineStr">
        <is>
          <t>단기차입금</t>
        </is>
      </c>
      <c r="F53" s="26" t="n">
        <v>10214.1</v>
      </c>
    </row>
    <row r="54">
      <c r="A54" t="n">
        <v>2023</v>
      </c>
      <c r="B54" s="2" t="inlineStr">
        <is>
          <t>debt</t>
        </is>
      </c>
      <c r="C54" s="2" t="inlineStr">
        <is>
          <t>BS</t>
        </is>
      </c>
      <c r="D54" s="2" t="inlineStr">
        <is>
          <t>ifrs-full_LongtermBorrowings</t>
        </is>
      </c>
      <c r="E54" s="2" t="inlineStr">
        <is>
          <t>유동성장기부채</t>
        </is>
      </c>
      <c r="F54" s="26" t="n">
        <v>15391.7</v>
      </c>
    </row>
    <row r="55">
      <c r="A55" t="n">
        <v>2023</v>
      </c>
      <c r="B55" s="2" t="inlineStr">
        <is>
          <t>debt</t>
        </is>
      </c>
      <c r="C55" s="2" t="inlineStr">
        <is>
          <t>BS</t>
        </is>
      </c>
      <c r="D55" s="2" t="inlineStr">
        <is>
          <t>-표준계정코드 미사용-</t>
        </is>
      </c>
      <c r="E55" s="2" t="inlineStr">
        <is>
          <t>자산유동화차입금</t>
        </is>
      </c>
      <c r="F55" s="26" t="n">
        <v>1151.2</v>
      </c>
    </row>
    <row r="56">
      <c r="A56" t="n">
        <v>2023</v>
      </c>
      <c r="B56" s="2" t="inlineStr">
        <is>
          <t>debt</t>
        </is>
      </c>
      <c r="C56" s="2" t="inlineStr">
        <is>
          <t>BS</t>
        </is>
      </c>
      <c r="D56" s="2" t="inlineStr">
        <is>
          <t>ifrs-full_NoncurrentPortionOfNoncurrentBondsIssued</t>
        </is>
      </c>
      <c r="E56" s="2" t="inlineStr">
        <is>
          <t>사채</t>
        </is>
      </c>
      <c r="F56" s="26" t="n">
        <v>18428.4</v>
      </c>
    </row>
    <row r="57">
      <c r="A57" t="n">
        <v>2023</v>
      </c>
      <c r="B57" s="2" t="inlineStr">
        <is>
          <t>debt</t>
        </is>
      </c>
      <c r="C57" s="2" t="inlineStr">
        <is>
          <t>BS</t>
        </is>
      </c>
      <c r="D57" s="2" t="inlineStr">
        <is>
          <t>ifrs-full_NoncurrentPortionOfNoncurrentLoansReceived</t>
        </is>
      </c>
      <c r="E57" s="2" t="inlineStr">
        <is>
          <t>장기차입금</t>
        </is>
      </c>
      <c r="F57" s="26" t="n">
        <v>19938.6</v>
      </c>
    </row>
    <row r="58">
      <c r="A58" t="n">
        <v>2023</v>
      </c>
      <c r="B58" s="2" t="inlineStr">
        <is>
          <t>current_debt</t>
        </is>
      </c>
      <c r="C58" s="2" t="inlineStr">
        <is>
          <t>BS</t>
        </is>
      </c>
      <c r="D58" s="2" t="inlineStr">
        <is>
          <t>-표준계정코드 미사용-</t>
        </is>
      </c>
      <c r="E58" s="2" t="inlineStr">
        <is>
          <t>단기차입금</t>
        </is>
      </c>
      <c r="F58" s="26" t="n">
        <v>10214.1</v>
      </c>
    </row>
    <row r="59">
      <c r="A59" t="n">
        <v>2023</v>
      </c>
      <c r="B59" s="2" t="inlineStr">
        <is>
          <t>current_debt</t>
        </is>
      </c>
      <c r="C59" s="2" t="inlineStr">
        <is>
          <t>BS</t>
        </is>
      </c>
      <c r="D59" s="2" t="inlineStr">
        <is>
          <t>ifrs-full_LongtermBorrowings</t>
        </is>
      </c>
      <c r="E59" s="2" t="inlineStr">
        <is>
          <t>유동성장기부채</t>
        </is>
      </c>
      <c r="F59" s="26" t="n">
        <v>15391.7</v>
      </c>
    </row>
    <row r="60">
      <c r="A60" t="n">
        <v>2023</v>
      </c>
      <c r="B60" s="2" t="inlineStr">
        <is>
          <t>lease_liabilities</t>
        </is>
      </c>
      <c r="C60" s="2" t="inlineStr">
        <is>
          <t>BS</t>
        </is>
      </c>
      <c r="D60" s="2" t="inlineStr">
        <is>
          <t>ifrs-full_CurrentLeaseLiabilities</t>
        </is>
      </c>
      <c r="E60" s="2" t="inlineStr">
        <is>
          <t>유동 리스부채</t>
        </is>
      </c>
      <c r="F60" s="26" t="n">
        <v>11788</v>
      </c>
    </row>
    <row r="61">
      <c r="A61" t="n">
        <v>2023</v>
      </c>
      <c r="B61" s="2" t="inlineStr">
        <is>
          <t>lease_liabilities</t>
        </is>
      </c>
      <c r="C61" s="2" t="inlineStr">
        <is>
          <t>BS</t>
        </is>
      </c>
      <c r="D61" s="2" t="inlineStr">
        <is>
          <t>ifrs-full_NoncurrentLeaseLiabilities</t>
        </is>
      </c>
      <c r="E61" s="2" t="inlineStr">
        <is>
          <t>리스부채</t>
        </is>
      </c>
      <c r="F61" s="26" t="n">
        <v>32556.8</v>
      </c>
    </row>
    <row r="62">
      <c r="A62" t="n">
        <v>2023</v>
      </c>
      <c r="B62" s="2" t="inlineStr">
        <is>
          <t>current_lease</t>
        </is>
      </c>
      <c r="C62" s="2" t="inlineStr">
        <is>
          <t>BS</t>
        </is>
      </c>
      <c r="D62" s="2" t="inlineStr">
        <is>
          <t>ifrs-full_CurrentLeaseLiabilities</t>
        </is>
      </c>
      <c r="E62" s="2" t="inlineStr">
        <is>
          <t>유동 리스부채</t>
        </is>
      </c>
      <c r="F62" s="26" t="n">
        <v>11788</v>
      </c>
    </row>
    <row r="63">
      <c r="A63" t="n">
        <v>2023</v>
      </c>
      <c r="B63" s="2" t="inlineStr">
        <is>
          <t>equity_parent</t>
        </is>
      </c>
      <c r="C63" s="2" t="inlineStr">
        <is>
          <t>BS</t>
        </is>
      </c>
      <c r="D63" s="2" t="inlineStr">
        <is>
          <t>ifrs-full_EquityAttributableToOwnersOfParent</t>
        </is>
      </c>
      <c r="E63" s="2" t="inlineStr">
        <is>
          <t>지배기업의 소유주에게 귀속되는 자본</t>
        </is>
      </c>
      <c r="F63" s="26" t="n">
        <v>95260</v>
      </c>
    </row>
    <row r="64">
      <c r="A64" t="n">
        <v>2023</v>
      </c>
      <c r="B64" s="2" t="inlineStr">
        <is>
          <t>nci</t>
        </is>
      </c>
      <c r="C64" s="2" t="inlineStr">
        <is>
          <t>BS</t>
        </is>
      </c>
      <c r="D64" s="2" t="inlineStr">
        <is>
          <t>ifrs-full_NoncontrollingInterests</t>
        </is>
      </c>
      <c r="E64" s="2" t="inlineStr">
        <is>
          <t>비지배지분</t>
        </is>
      </c>
      <c r="F64" s="26" t="n">
        <v>2892.1</v>
      </c>
    </row>
    <row r="65">
      <c r="A65" t="n">
        <v>2024</v>
      </c>
      <c r="B65" s="2" t="inlineStr">
        <is>
          <t>revenue</t>
        </is>
      </c>
      <c r="C65" s="2" t="inlineStr">
        <is>
          <t>CIS</t>
        </is>
      </c>
      <c r="D65" s="2" t="inlineStr">
        <is>
          <t>ifrs-full_Revenue</t>
        </is>
      </c>
      <c r="E65" s="2" t="inlineStr">
        <is>
          <t>영업수익</t>
        </is>
      </c>
      <c r="F65" s="26" t="n">
        <v>178707.2</v>
      </c>
    </row>
    <row r="66">
      <c r="A66" t="n">
        <v>2024</v>
      </c>
      <c r="B66" s="2" t="inlineStr">
        <is>
          <t>operating_income</t>
        </is>
      </c>
      <c r="C66" s="2" t="inlineStr">
        <is>
          <t>CIS</t>
        </is>
      </c>
      <c r="D66" s="2" t="inlineStr">
        <is>
          <t>dart_OperatingIncomeLoss</t>
        </is>
      </c>
      <c r="E66" s="2" t="inlineStr">
        <is>
          <t>영업이익(손실)</t>
        </is>
      </c>
      <c r="F66" s="26" t="n">
        <v>21102</v>
      </c>
    </row>
    <row r="67">
      <c r="A67" t="n">
        <v>2024</v>
      </c>
      <c r="B67" s="2" t="inlineStr">
        <is>
          <t>depreciation</t>
        </is>
      </c>
      <c r="C67" s="2" t="inlineStr">
        <is>
          <t>CF</t>
        </is>
      </c>
      <c r="D67" s="2" t="inlineStr">
        <is>
          <t>ifrs-full_AdjustmentsForAmortisationExpense</t>
        </is>
      </c>
      <c r="E67" s="2" t="inlineStr">
        <is>
          <t>무형자산상각비</t>
        </is>
      </c>
      <c r="F67" s="26" t="n">
        <v>588.1</v>
      </c>
    </row>
    <row r="68">
      <c r="A68" t="n">
        <v>2024</v>
      </c>
      <c r="B68" s="2" t="inlineStr">
        <is>
          <t>depreciation</t>
        </is>
      </c>
      <c r="C68" s="2" t="inlineStr">
        <is>
          <t>CF</t>
        </is>
      </c>
      <c r="D68" s="2" t="inlineStr">
        <is>
          <t>ifrs-full_AdjustmentsForDepreciationExpense</t>
        </is>
      </c>
      <c r="E68" s="2" t="inlineStr">
        <is>
          <t>감가상각비</t>
        </is>
      </c>
      <c r="F68" s="26" t="n">
        <v>17372.2</v>
      </c>
    </row>
    <row r="69">
      <c r="A69" t="n">
        <v>2024</v>
      </c>
      <c r="B69" s="2" t="inlineStr">
        <is>
          <t>capex</t>
        </is>
      </c>
      <c r="C69" s="2" t="inlineStr">
        <is>
          <t>CF</t>
        </is>
      </c>
      <c r="D69" s="2" t="inlineStr">
        <is>
          <t>ifrs-full_PurchaseOfIntangibleAssetsClassifiedAsInvestingActivities</t>
        </is>
      </c>
      <c r="E69" s="2" t="inlineStr">
        <is>
          <t>무형자산의 취득</t>
        </is>
      </c>
      <c r="F69" s="26" t="n">
        <v>122.4</v>
      </c>
    </row>
    <row r="70">
      <c r="A70" t="n">
        <v>2024</v>
      </c>
      <c r="B70" s="2" t="inlineStr">
        <is>
          <t>capex</t>
        </is>
      </c>
      <c r="C70" s="2" t="inlineStr">
        <is>
          <t>CF</t>
        </is>
      </c>
      <c r="D70" s="2" t="inlineStr">
        <is>
          <t>ifrs-full_PurchaseOfPropertyPlantAndEquipmentClassifiedAsInvestingActivities</t>
        </is>
      </c>
      <c r="E70" s="2" t="inlineStr">
        <is>
          <t>유형자산의 취득</t>
        </is>
      </c>
      <c r="F70" s="26" t="n">
        <v>28941</v>
      </c>
    </row>
    <row r="71">
      <c r="A71" t="n">
        <v>2024</v>
      </c>
      <c r="B71" s="2" t="inlineStr">
        <is>
          <t>cash</t>
        </is>
      </c>
      <c r="C71" s="2" t="inlineStr">
        <is>
          <t>BS</t>
        </is>
      </c>
      <c r="D71" s="2" t="inlineStr">
        <is>
          <t>ifrs-full_CashAndCashEquivalents</t>
        </is>
      </c>
      <c r="E71" s="2" t="inlineStr">
        <is>
          <t>현금및현금성자산</t>
        </is>
      </c>
      <c r="F71" s="26" t="n">
        <v>22156.2</v>
      </c>
    </row>
    <row r="72">
      <c r="A72" t="n">
        <v>2024</v>
      </c>
      <c r="B72" s="2" t="inlineStr">
        <is>
          <t>current_assets</t>
        </is>
      </c>
      <c r="C72" s="2" t="inlineStr">
        <is>
          <t>BS</t>
        </is>
      </c>
      <c r="D72" s="2" t="inlineStr">
        <is>
          <t>ifrs-full_CurrentAssets</t>
        </is>
      </c>
      <c r="E72" s="2" t="inlineStr">
        <is>
          <t>유동자산</t>
        </is>
      </c>
      <c r="F72" s="26" t="n">
        <v>116168.7</v>
      </c>
    </row>
    <row r="73">
      <c r="A73" t="n">
        <v>2024</v>
      </c>
      <c r="B73" s="2" t="inlineStr">
        <is>
          <t>current_liabilities</t>
        </is>
      </c>
      <c r="C73" s="2" t="inlineStr">
        <is>
          <t>BS</t>
        </is>
      </c>
      <c r="D73" s="2" t="inlineStr">
        <is>
          <t>ifrs-full_CurrentLiabilities</t>
        </is>
      </c>
      <c r="E73" s="2" t="inlineStr">
        <is>
          <t>유동부채</t>
        </is>
      </c>
      <c r="F73" s="26" t="n">
        <v>169734.9</v>
      </c>
    </row>
    <row r="74">
      <c r="A74" t="n">
        <v>2024</v>
      </c>
      <c r="B74" s="2" t="inlineStr">
        <is>
          <t>debt</t>
        </is>
      </c>
      <c r="C74" s="2" t="inlineStr">
        <is>
          <t>BS</t>
        </is>
      </c>
      <c r="D74" s="2" t="inlineStr">
        <is>
          <t>-표준계정코드 미사용-</t>
        </is>
      </c>
      <c r="E74" s="2" t="inlineStr">
        <is>
          <t>단기차입금</t>
        </is>
      </c>
      <c r="F74" s="26" t="n">
        <v>25170.2</v>
      </c>
    </row>
    <row r="75">
      <c r="A75" t="n">
        <v>2024</v>
      </c>
      <c r="B75" s="2" t="inlineStr">
        <is>
          <t>debt</t>
        </is>
      </c>
      <c r="C75" s="2" t="inlineStr">
        <is>
          <t>BS</t>
        </is>
      </c>
      <c r="D75" s="2" t="inlineStr">
        <is>
          <t>ifrs-full_LongtermBorrowings</t>
        </is>
      </c>
      <c r="E75" s="2" t="inlineStr">
        <is>
          <t>유동성장기부채</t>
        </is>
      </c>
      <c r="F75" s="26" t="n">
        <v>25414.2</v>
      </c>
    </row>
    <row r="76">
      <c r="A76" t="n">
        <v>2024</v>
      </c>
      <c r="B76" s="2" t="inlineStr">
        <is>
          <t>debt</t>
        </is>
      </c>
      <c r="C76" s="2" t="inlineStr">
        <is>
          <t>BS</t>
        </is>
      </c>
      <c r="D76" s="2" t="inlineStr">
        <is>
          <t>-표준계정코드 미사용-</t>
        </is>
      </c>
      <c r="E76" s="2" t="inlineStr">
        <is>
          <t>장기차입금</t>
        </is>
      </c>
      <c r="F76" s="26" t="n">
        <v>18193</v>
      </c>
    </row>
    <row r="77">
      <c r="A77" t="n">
        <v>2024</v>
      </c>
      <c r="B77" s="2" t="inlineStr">
        <is>
          <t>debt</t>
        </is>
      </c>
      <c r="C77" s="2" t="inlineStr">
        <is>
          <t>BS</t>
        </is>
      </c>
      <c r="D77" s="2" t="inlineStr">
        <is>
          <t>-표준계정코드 미사용-</t>
        </is>
      </c>
      <c r="E77" s="2" t="inlineStr">
        <is>
          <t>자산유동화차입금</t>
        </is>
      </c>
      <c r="F77" s="26" t="n">
        <v>1584.4</v>
      </c>
    </row>
    <row r="78">
      <c r="A78" t="n">
        <v>2024</v>
      </c>
      <c r="B78" s="2" t="inlineStr">
        <is>
          <t>debt</t>
        </is>
      </c>
      <c r="C78" s="2" t="inlineStr">
        <is>
          <t>BS</t>
        </is>
      </c>
      <c r="D78" s="2" t="inlineStr">
        <is>
          <t>ifrs-full_NoncurrentPortionOfNoncurrentBondsIssued</t>
        </is>
      </c>
      <c r="E78" s="2" t="inlineStr">
        <is>
          <t>사채</t>
        </is>
      </c>
      <c r="F78" s="26" t="n">
        <v>14631.1</v>
      </c>
    </row>
    <row r="79">
      <c r="A79" t="n">
        <v>2024</v>
      </c>
      <c r="B79" s="2" t="inlineStr">
        <is>
          <t>current_debt</t>
        </is>
      </c>
      <c r="C79" s="2" t="inlineStr">
        <is>
          <t>BS</t>
        </is>
      </c>
      <c r="D79" s="2" t="inlineStr">
        <is>
          <t>-표준계정코드 미사용-</t>
        </is>
      </c>
      <c r="E79" s="2" t="inlineStr">
        <is>
          <t>단기차입금</t>
        </is>
      </c>
      <c r="F79" s="26" t="n">
        <v>25170.2</v>
      </c>
    </row>
    <row r="80">
      <c r="A80" t="n">
        <v>2024</v>
      </c>
      <c r="B80" s="2" t="inlineStr">
        <is>
          <t>current_debt</t>
        </is>
      </c>
      <c r="C80" s="2" t="inlineStr">
        <is>
          <t>BS</t>
        </is>
      </c>
      <c r="D80" s="2" t="inlineStr">
        <is>
          <t>ifrs-full_LongtermBorrowings</t>
        </is>
      </c>
      <c r="E80" s="2" t="inlineStr">
        <is>
          <t>유동성장기부채</t>
        </is>
      </c>
      <c r="F80" s="26" t="n">
        <v>25414.2</v>
      </c>
    </row>
    <row r="81">
      <c r="A81" t="n">
        <v>2024</v>
      </c>
      <c r="B81" s="2" t="inlineStr">
        <is>
          <t>lease_liabilities</t>
        </is>
      </c>
      <c r="C81" s="2" t="inlineStr">
        <is>
          <t>BS</t>
        </is>
      </c>
      <c r="D81" s="2" t="inlineStr">
        <is>
          <t>ifrs-full_CurrentLeaseLiabilities</t>
        </is>
      </c>
      <c r="E81" s="2" t="inlineStr">
        <is>
          <t>유동성리스부채</t>
        </is>
      </c>
      <c r="F81" s="26" t="n">
        <v>21820.8</v>
      </c>
    </row>
    <row r="82">
      <c r="A82" t="n">
        <v>2024</v>
      </c>
      <c r="B82" s="2" t="inlineStr">
        <is>
          <t>lease_liabilities</t>
        </is>
      </c>
      <c r="C82" s="2" t="inlineStr">
        <is>
          <t>BS</t>
        </is>
      </c>
      <c r="D82" s="2" t="inlineStr">
        <is>
          <t>ifrs-full_NoncurrentLeaseLiabilities</t>
        </is>
      </c>
      <c r="E82" s="2" t="inlineStr">
        <is>
          <t>리스부채</t>
        </is>
      </c>
      <c r="F82" s="26" t="n">
        <v>87445.60000000001</v>
      </c>
    </row>
    <row r="83">
      <c r="A83" t="n">
        <v>2024</v>
      </c>
      <c r="B83" s="2" t="inlineStr">
        <is>
          <t>current_lease</t>
        </is>
      </c>
      <c r="C83" s="2" t="inlineStr">
        <is>
          <t>BS</t>
        </is>
      </c>
      <c r="D83" s="2" t="inlineStr">
        <is>
          <t>ifrs-full_CurrentLeaseLiabilities</t>
        </is>
      </c>
      <c r="E83" s="2" t="inlineStr">
        <is>
          <t>유동성리스부채</t>
        </is>
      </c>
      <c r="F83" s="26" t="n">
        <v>21820.8</v>
      </c>
    </row>
    <row r="84">
      <c r="A84" t="n">
        <v>2024</v>
      </c>
      <c r="B84" s="2" t="inlineStr">
        <is>
          <t>equity_parent</t>
        </is>
      </c>
      <c r="C84" s="2" t="inlineStr">
        <is>
          <t>BS</t>
        </is>
      </c>
      <c r="D84" s="2" t="inlineStr">
        <is>
          <t>ifrs-full_EquityAttributableToOwnersOfParent</t>
        </is>
      </c>
      <c r="E84" s="2" t="inlineStr">
        <is>
          <t>지배기업의 소유주에게 귀속되는 자본</t>
        </is>
      </c>
      <c r="F84" s="26" t="n">
        <v>104728.8</v>
      </c>
    </row>
    <row r="85">
      <c r="A85" t="n">
        <v>2024</v>
      </c>
      <c r="B85" s="2" t="inlineStr">
        <is>
          <t>nci</t>
        </is>
      </c>
      <c r="C85" s="2" t="inlineStr">
        <is>
          <t>BS</t>
        </is>
      </c>
      <c r="D85" s="2" t="inlineStr">
        <is>
          <t>ifrs-full_NoncontrollingInterests</t>
        </is>
      </c>
      <c r="E85" s="2" t="inlineStr">
        <is>
          <t>비지배지분</t>
        </is>
      </c>
      <c r="F85" s="26" t="n">
        <v>4903.1</v>
      </c>
    </row>
    <row r="86">
      <c r="A86" t="n">
        <v>2021</v>
      </c>
      <c r="B86" s="2" t="inlineStr">
        <is>
          <t>fuel_cost</t>
        </is>
      </c>
      <c r="C86" s="2" t="inlineStr">
        <is>
          <t>수기입력</t>
        </is>
      </c>
      <c r="D86" s="2" t="inlineStr">
        <is>
          <t>override</t>
        </is>
      </c>
      <c r="E86" s="2" t="inlineStr">
        <is>
          <t>config.toml overrides</t>
        </is>
      </c>
      <c r="F86" s="26" t="n">
        <v>17860.81</v>
      </c>
    </row>
    <row r="87">
      <c r="A87" t="n">
        <v>2022</v>
      </c>
      <c r="B87" s="2" t="inlineStr">
        <is>
          <t>fuel_cost</t>
        </is>
      </c>
      <c r="C87" s="2" t="inlineStr">
        <is>
          <t>수기입력</t>
        </is>
      </c>
      <c r="D87" s="2" t="inlineStr">
        <is>
          <t>override</t>
        </is>
      </c>
      <c r="E87" s="2" t="inlineStr">
        <is>
          <t>config.toml overrides</t>
        </is>
      </c>
      <c r="F87" s="26" t="n">
        <v>41362.38</v>
      </c>
    </row>
    <row r="88">
      <c r="A88" t="n">
        <v>2023</v>
      </c>
      <c r="B88" s="2" t="inlineStr">
        <is>
          <t>fuel_cost</t>
        </is>
      </c>
      <c r="C88" s="2" t="inlineStr">
        <is>
          <t>수기입력</t>
        </is>
      </c>
      <c r="D88" s="2" t="inlineStr">
        <is>
          <t>override</t>
        </is>
      </c>
      <c r="E88" s="2" t="inlineStr">
        <is>
          <t>config.toml overrides</t>
        </is>
      </c>
      <c r="F88" s="26" t="n">
        <v>48023.39</v>
      </c>
    </row>
    <row r="89">
      <c r="A89" t="n">
        <v>2024</v>
      </c>
      <c r="B89" s="2" t="inlineStr">
        <is>
          <t>fuel_cost</t>
        </is>
      </c>
      <c r="C89" s="2" t="inlineStr">
        <is>
          <t>수기입력</t>
        </is>
      </c>
      <c r="D89" s="2" t="inlineStr">
        <is>
          <t>override</t>
        </is>
      </c>
      <c r="E89" s="2" t="inlineStr">
        <is>
          <t>config.toml overrides</t>
        </is>
      </c>
      <c r="F89" s="26" t="n">
        <v>49808.48</v>
      </c>
    </row>
    <row r="90">
      <c r="A90" t="n">
        <v>2022</v>
      </c>
      <c r="B90" s="2" t="inlineStr">
        <is>
          <t>revenue</t>
        </is>
      </c>
      <c r="C90" s="2" t="inlineStr">
        <is>
          <t>pro forma</t>
        </is>
      </c>
      <c r="D90" s="2" t="inlineStr">
        <is>
          <t>proforma</t>
        </is>
      </c>
      <c r="E90" s="2" t="inlineStr">
        <is>
          <t>피취득회사 합산 (공시 140,961 + 62,067)</t>
        </is>
      </c>
      <c r="F90" s="26" t="n">
        <v>62067</v>
      </c>
    </row>
    <row r="91">
      <c r="A91" t="n">
        <v>2022</v>
      </c>
      <c r="B91" s="2" t="inlineStr">
        <is>
          <t>operating_income</t>
        </is>
      </c>
      <c r="C91" s="2" t="inlineStr">
        <is>
          <t>pro forma</t>
        </is>
      </c>
      <c r="D91" s="2" t="inlineStr">
        <is>
          <t>proforma</t>
        </is>
      </c>
      <c r="E91" s="2" t="inlineStr">
        <is>
          <t>피취득회사 합산 (공시 28,306 + 5,988)</t>
        </is>
      </c>
      <c r="F91" s="26" t="n">
        <v>5988</v>
      </c>
    </row>
    <row r="92">
      <c r="A92" t="n">
        <v>2022</v>
      </c>
      <c r="B92" s="2" t="inlineStr">
        <is>
          <t>depreciation</t>
        </is>
      </c>
      <c r="C92" s="2" t="inlineStr">
        <is>
          <t>pro forma</t>
        </is>
      </c>
      <c r="D92" s="2" t="inlineStr">
        <is>
          <t>proforma</t>
        </is>
      </c>
      <c r="E92" s="2" t="inlineStr">
        <is>
          <t>피취득회사 합산 (공시 16,497 + 9,899)</t>
        </is>
      </c>
      <c r="F92" s="26" t="n">
        <v>9898.65</v>
      </c>
    </row>
    <row r="93">
      <c r="A93" t="n">
        <v>2022</v>
      </c>
      <c r="B93" s="2" t="inlineStr">
        <is>
          <t>capex</t>
        </is>
      </c>
      <c r="C93" s="2" t="inlineStr">
        <is>
          <t>pro forma</t>
        </is>
      </c>
      <c r="D93" s="2" t="inlineStr">
        <is>
          <t>proforma</t>
        </is>
      </c>
      <c r="E93" s="2" t="inlineStr">
        <is>
          <t>피취득회사 합산 (공시 7,641 + 4,008)</t>
        </is>
      </c>
      <c r="F93" s="26" t="n">
        <v>4008</v>
      </c>
    </row>
    <row r="94">
      <c r="A94" t="n">
        <v>2022</v>
      </c>
      <c r="B94" s="2" t="inlineStr">
        <is>
          <t>fuel_cost</t>
        </is>
      </c>
      <c r="C94" s="2" t="inlineStr">
        <is>
          <t>pro forma</t>
        </is>
      </c>
      <c r="D94" s="2" t="inlineStr">
        <is>
          <t>proforma</t>
        </is>
      </c>
      <c r="E94" s="2" t="inlineStr">
        <is>
          <t>피취득회사 합산 (공시 41,362 + 20,701)</t>
        </is>
      </c>
      <c r="F94" s="26" t="n">
        <v>20701.35</v>
      </c>
    </row>
    <row r="95">
      <c r="A95" t="n">
        <v>2023</v>
      </c>
      <c r="B95" s="2" t="inlineStr">
        <is>
          <t>revenue</t>
        </is>
      </c>
      <c r="C95" s="2" t="inlineStr">
        <is>
          <t>pro forma</t>
        </is>
      </c>
      <c r="D95" s="2" t="inlineStr">
        <is>
          <t>proforma</t>
        </is>
      </c>
      <c r="E95" s="2" t="inlineStr">
        <is>
          <t>피취득회사 합산 (공시 161,118 + 76,233)</t>
        </is>
      </c>
      <c r="F95" s="26" t="n">
        <v>76233</v>
      </c>
    </row>
    <row r="96">
      <c r="A96" t="n">
        <v>2023</v>
      </c>
      <c r="B96" s="2" t="inlineStr">
        <is>
          <t>operating_income</t>
        </is>
      </c>
      <c r="C96" s="2" t="inlineStr">
        <is>
          <t>pro forma</t>
        </is>
      </c>
      <c r="D96" s="2" t="inlineStr">
        <is>
          <t>proforma</t>
        </is>
      </c>
      <c r="E96" s="2" t="inlineStr">
        <is>
          <t>피취득회사 합산 (공시 17,901 + 6,199)</t>
        </is>
      </c>
      <c r="F96" s="26" t="n">
        <v>6199</v>
      </c>
    </row>
    <row r="97">
      <c r="A97" t="n">
        <v>2023</v>
      </c>
      <c r="B97" s="2" t="inlineStr">
        <is>
          <t>depreciation</t>
        </is>
      </c>
      <c r="C97" s="2" t="inlineStr">
        <is>
          <t>pro forma</t>
        </is>
      </c>
      <c r="D97" s="2" t="inlineStr">
        <is>
          <t>proforma</t>
        </is>
      </c>
      <c r="E97" s="2" t="inlineStr">
        <is>
          <t>피취득회사 합산 (공시 17,229 + 10,045)</t>
        </is>
      </c>
      <c r="F97" s="26" t="n">
        <v>10045.49</v>
      </c>
    </row>
    <row r="98">
      <c r="A98" t="n">
        <v>2023</v>
      </c>
      <c r="B98" s="2" t="inlineStr">
        <is>
          <t>capex</t>
        </is>
      </c>
      <c r="C98" s="2" t="inlineStr">
        <is>
          <t>pro forma</t>
        </is>
      </c>
      <c r="D98" s="2" t="inlineStr">
        <is>
          <t>proforma</t>
        </is>
      </c>
      <c r="E98" s="2" t="inlineStr">
        <is>
          <t>피취득회사 합산 (공시 19,172 + 6,088)</t>
        </is>
      </c>
      <c r="F98" s="26" t="n">
        <v>6088</v>
      </c>
    </row>
    <row r="99">
      <c r="A99" t="n">
        <v>2023</v>
      </c>
      <c r="B99" s="2" t="inlineStr">
        <is>
          <t>fuel_cost</t>
        </is>
      </c>
      <c r="C99" s="2" t="inlineStr">
        <is>
          <t>pro forma</t>
        </is>
      </c>
      <c r="D99" s="2" t="inlineStr">
        <is>
          <t>proforma</t>
        </is>
      </c>
      <c r="E99" s="2" t="inlineStr">
        <is>
          <t>피취득회사 합산 (공시 48,023 + 24,292)</t>
        </is>
      </c>
      <c r="F99" s="26" t="n">
        <v>24292.33</v>
      </c>
    </row>
    <row r="100">
      <c r="A100" t="n">
        <v>2024</v>
      </c>
      <c r="B100" s="2" t="inlineStr">
        <is>
          <t>revenue</t>
        </is>
      </c>
      <c r="C100" s="2" t="inlineStr">
        <is>
          <t>pro forma</t>
        </is>
      </c>
      <c r="D100" s="2" t="inlineStr">
        <is>
          <t>proforma</t>
        </is>
      </c>
      <c r="E100" s="2" t="inlineStr">
        <is>
          <t>피취득회사 합산 (공시 178,707 + 83,186)</t>
        </is>
      </c>
      <c r="F100" s="26" t="n">
        <v>83186</v>
      </c>
    </row>
    <row r="101">
      <c r="A101" t="n">
        <v>2024</v>
      </c>
      <c r="B101" s="2" t="inlineStr">
        <is>
          <t>operating_income</t>
        </is>
      </c>
      <c r="C101" s="2" t="inlineStr">
        <is>
          <t>pro forma</t>
        </is>
      </c>
      <c r="D101" s="2" t="inlineStr">
        <is>
          <t>proforma</t>
        </is>
      </c>
      <c r="E101" s="2" t="inlineStr">
        <is>
          <t>피취득회사 합산 (공시 21,102 + 2,757)</t>
        </is>
      </c>
      <c r="F101" s="26" t="n">
        <v>2757</v>
      </c>
    </row>
    <row r="102">
      <c r="A102" t="n">
        <v>2024</v>
      </c>
      <c r="B102" s="2" t="inlineStr">
        <is>
          <t>depreciation</t>
        </is>
      </c>
      <c r="C102" s="2" t="inlineStr">
        <is>
          <t>pro forma</t>
        </is>
      </c>
      <c r="D102" s="2" t="inlineStr">
        <is>
          <t>proforma</t>
        </is>
      </c>
      <c r="E102" s="2" t="inlineStr">
        <is>
          <t>피취득회사 합산 (공시 17,960 + 11,525)</t>
        </is>
      </c>
      <c r="F102" s="26" t="n">
        <v>11525.14</v>
      </c>
    </row>
    <row r="103">
      <c r="A103" t="n">
        <v>2024</v>
      </c>
      <c r="B103" s="2" t="inlineStr">
        <is>
          <t>capex</t>
        </is>
      </c>
      <c r="C103" s="2" t="inlineStr">
        <is>
          <t>pro forma</t>
        </is>
      </c>
      <c r="D103" s="2" t="inlineStr">
        <is>
          <t>proforma</t>
        </is>
      </c>
      <c r="E103" s="2" t="inlineStr">
        <is>
          <t>피취득회사 합산 (공시 29,063 + 7,155)</t>
        </is>
      </c>
      <c r="F103" s="26" t="n">
        <v>7155</v>
      </c>
    </row>
    <row r="104">
      <c r="A104" t="n">
        <v>2024</v>
      </c>
      <c r="B104" s="2" t="inlineStr">
        <is>
          <t>fuel_cost</t>
        </is>
      </c>
      <c r="C104" s="2" t="inlineStr">
        <is>
          <t>pro forma</t>
        </is>
      </c>
      <c r="D104" s="2" t="inlineStr">
        <is>
          <t>proforma</t>
        </is>
      </c>
      <c r="E104" s="2" t="inlineStr">
        <is>
          <t>피취득회사 합산 (공시 49,808 + 25,567)</t>
        </is>
      </c>
      <c r="F104" s="26" t="n">
        <v>25567.36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2026-09-26T16:33:14Z</dcterms:created>
  <dcterms:modified xmlns:dcterms="http://purl.org/dc/terms/" xmlns:xsi="http://www.w3.org/2001/XMLSchema-instance" xsi:type="dcterms:W3CDTF">2026-09-26T16:33:15Z</dcterms:modified>
</cp:coreProperties>
</file>